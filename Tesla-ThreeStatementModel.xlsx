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nncheng/Desktop/"/>
    </mc:Choice>
  </mc:AlternateContent>
  <xr:revisionPtr revIDLastSave="0" documentId="13_ncr:1_{8E0706D6-4844-A643-BFAC-F68A1B966D6C}" xr6:coauthVersionLast="47" xr6:coauthVersionMax="47" xr10:uidLastSave="{00000000-0000-0000-0000-000000000000}"/>
  <bookViews>
    <workbookView xWindow="0" yWindow="680" windowWidth="29400" windowHeight="17280" xr2:uid="{0929EA4F-E23C-AA4B-8163-93A78E794768}"/>
  </bookViews>
  <sheets>
    <sheet name="Three Statement Model" sheetId="9" r:id="rId1"/>
    <sheet name="Charts and Graphs" sheetId="8" r:id="rId2"/>
    <sheet name="Rev&amp;COGS breakdown" sheetId="10" state="hidden" r:id="rId3"/>
    <sheet name="Financials" sheetId="6" r:id="rId4"/>
    <sheet name="3-Statement Model_v1" sheetId="7" state="hidden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8" l="1"/>
  <c r="D7" i="8"/>
  <c r="E7" i="8"/>
  <c r="F7" i="8"/>
  <c r="C8" i="8"/>
  <c r="D8" i="8"/>
  <c r="E8" i="8"/>
  <c r="F8" i="8"/>
  <c r="C9" i="8"/>
  <c r="D9" i="8"/>
  <c r="E9" i="8"/>
  <c r="F9" i="8"/>
  <c r="G9" i="8"/>
  <c r="H9" i="8"/>
  <c r="I9" i="8"/>
  <c r="J9" i="8"/>
  <c r="K9" i="8"/>
  <c r="B9" i="8"/>
  <c r="B8" i="8"/>
  <c r="B7" i="8"/>
  <c r="C5" i="8"/>
  <c r="D5" i="8"/>
  <c r="E5" i="8"/>
  <c r="F5" i="8"/>
  <c r="B5" i="8"/>
  <c r="C4" i="8"/>
  <c r="D4" i="8"/>
  <c r="E4" i="8"/>
  <c r="F4" i="8"/>
  <c r="B4" i="8"/>
  <c r="F28" i="10"/>
  <c r="E28" i="10"/>
  <c r="D28" i="10"/>
  <c r="C28" i="10"/>
  <c r="B28" i="10"/>
  <c r="F27" i="10"/>
  <c r="E27" i="10"/>
  <c r="D27" i="10"/>
  <c r="C27" i="10"/>
  <c r="F24" i="10"/>
  <c r="E24" i="10"/>
  <c r="D24" i="10"/>
  <c r="C24" i="10"/>
  <c r="B24" i="10"/>
  <c r="F23" i="10"/>
  <c r="E23" i="10"/>
  <c r="D23" i="10"/>
  <c r="C23" i="10"/>
  <c r="C20" i="10"/>
  <c r="F19" i="10"/>
  <c r="F20" i="10" s="1"/>
  <c r="E19" i="10"/>
  <c r="E20" i="10" s="1"/>
  <c r="D19" i="10"/>
  <c r="D20" i="10" s="1"/>
  <c r="C19" i="10"/>
  <c r="B19" i="10"/>
  <c r="F18" i="10"/>
  <c r="G17" i="10"/>
  <c r="H17" i="10" s="1"/>
  <c r="I17" i="10" s="1"/>
  <c r="J17" i="10" s="1"/>
  <c r="K17" i="10" s="1"/>
  <c r="F17" i="10"/>
  <c r="E17" i="10"/>
  <c r="E18" i="10" s="1"/>
  <c r="D17" i="10"/>
  <c r="D18" i="10" s="1"/>
  <c r="C17" i="10"/>
  <c r="C18" i="10" s="1"/>
  <c r="B17" i="10"/>
  <c r="F16" i="10"/>
  <c r="E16" i="10"/>
  <c r="D16" i="10"/>
  <c r="C16" i="10"/>
  <c r="H15" i="10"/>
  <c r="I15" i="10" s="1"/>
  <c r="G15" i="10"/>
  <c r="F11" i="10"/>
  <c r="E11" i="10"/>
  <c r="D11" i="10"/>
  <c r="C11" i="10"/>
  <c r="B11" i="10"/>
  <c r="G10" i="10"/>
  <c r="G6" i="10"/>
  <c r="F6" i="10"/>
  <c r="E6" i="10"/>
  <c r="D6" i="10"/>
  <c r="C6" i="10"/>
  <c r="B6" i="10"/>
  <c r="H5" i="10"/>
  <c r="I5" i="10" s="1"/>
  <c r="G5" i="10"/>
  <c r="G4" i="10"/>
  <c r="G9" i="10" s="1"/>
  <c r="G3" i="10"/>
  <c r="D249" i="9"/>
  <c r="D229" i="9"/>
  <c r="C229" i="9" s="1"/>
  <c r="F229" i="9"/>
  <c r="G229" i="9" s="1"/>
  <c r="I181" i="9"/>
  <c r="K181" i="9"/>
  <c r="I180" i="9"/>
  <c r="K180" i="9"/>
  <c r="I179" i="9"/>
  <c r="K179" i="9"/>
  <c r="I178" i="9"/>
  <c r="K178" i="9"/>
  <c r="I177" i="9"/>
  <c r="K177" i="9"/>
  <c r="I176" i="9"/>
  <c r="K176" i="9"/>
  <c r="H148" i="9" s="1"/>
  <c r="K154" i="9"/>
  <c r="J154" i="9"/>
  <c r="I154" i="9"/>
  <c r="H154" i="9"/>
  <c r="K153" i="9"/>
  <c r="J153" i="9"/>
  <c r="I153" i="9"/>
  <c r="H153" i="9"/>
  <c r="K152" i="9"/>
  <c r="J152" i="9"/>
  <c r="I152" i="9"/>
  <c r="H152" i="9"/>
  <c r="K150" i="9"/>
  <c r="J150" i="9"/>
  <c r="I150" i="9"/>
  <c r="H150" i="9"/>
  <c r="K149" i="9"/>
  <c r="J149" i="9"/>
  <c r="I149" i="9"/>
  <c r="H149" i="9"/>
  <c r="K148" i="9"/>
  <c r="I148" i="9"/>
  <c r="M229" i="9"/>
  <c r="N229" i="9" s="1"/>
  <c r="K229" i="9"/>
  <c r="J229" i="9" s="1"/>
  <c r="G154" i="9"/>
  <c r="G121" i="9" s="1"/>
  <c r="G153" i="9"/>
  <c r="G117" i="9" s="1"/>
  <c r="G152" i="9"/>
  <c r="G113" i="9" s="1"/>
  <c r="G150" i="9"/>
  <c r="G120" i="9" s="1"/>
  <c r="G98" i="9" s="1"/>
  <c r="G149" i="9"/>
  <c r="G116" i="9" s="1"/>
  <c r="G97" i="9" s="1"/>
  <c r="G148" i="9"/>
  <c r="G109" i="9" s="1"/>
  <c r="G108" i="9" s="1"/>
  <c r="I241" i="9"/>
  <c r="I242" i="9" s="1"/>
  <c r="B241" i="9"/>
  <c r="B242" i="9" s="1"/>
  <c r="I239" i="9"/>
  <c r="I238" i="9" s="1"/>
  <c r="B239" i="9"/>
  <c r="B238" i="9" s="1"/>
  <c r="M237" i="9"/>
  <c r="N237" i="9" s="1"/>
  <c r="K237" i="9"/>
  <c r="J237" i="9" s="1"/>
  <c r="F237" i="9"/>
  <c r="G237" i="9" s="1"/>
  <c r="D237" i="9"/>
  <c r="C237" i="9" s="1"/>
  <c r="I233" i="9"/>
  <c r="I234" i="9" s="1"/>
  <c r="B233" i="9"/>
  <c r="B234" i="9" s="1"/>
  <c r="I231" i="9"/>
  <c r="I230" i="9" s="1"/>
  <c r="B231" i="9"/>
  <c r="B230" i="9" s="1"/>
  <c r="B222" i="9"/>
  <c r="K239" i="9" s="1"/>
  <c r="B220" i="9"/>
  <c r="B218" i="9"/>
  <c r="B217" i="9"/>
  <c r="B216" i="9"/>
  <c r="B187" i="9"/>
  <c r="B186" i="9"/>
  <c r="B178" i="9"/>
  <c r="B180" i="9" s="1"/>
  <c r="B177" i="9"/>
  <c r="G171" i="9"/>
  <c r="H171" i="9" s="1"/>
  <c r="I171" i="9" s="1"/>
  <c r="J171" i="9" s="1"/>
  <c r="K171" i="9" s="1"/>
  <c r="F170" i="9"/>
  <c r="E170" i="9"/>
  <c r="D170" i="9"/>
  <c r="C170" i="9"/>
  <c r="B170" i="9"/>
  <c r="H169" i="9"/>
  <c r="I169" i="9" s="1"/>
  <c r="J169" i="9" s="1"/>
  <c r="K169" i="9" s="1"/>
  <c r="H168" i="9"/>
  <c r="I168" i="9" s="1"/>
  <c r="J168" i="9" s="1"/>
  <c r="K168" i="9" s="1"/>
  <c r="H167" i="9"/>
  <c r="I167" i="9" s="1"/>
  <c r="J167" i="9" s="1"/>
  <c r="K167" i="9" s="1"/>
  <c r="H166" i="9"/>
  <c r="I166" i="9" s="1"/>
  <c r="J166" i="9" s="1"/>
  <c r="K166" i="9" s="1"/>
  <c r="H165" i="9"/>
  <c r="H164" i="9"/>
  <c r="H163" i="9"/>
  <c r="I163" i="9" s="1"/>
  <c r="J163" i="9" s="1"/>
  <c r="H162" i="9"/>
  <c r="I162" i="9" s="1"/>
  <c r="J162" i="9" s="1"/>
  <c r="K162" i="9" s="1"/>
  <c r="H161" i="9"/>
  <c r="I161" i="9" s="1"/>
  <c r="J161" i="9" s="1"/>
  <c r="K161" i="9" s="1"/>
  <c r="G160" i="9"/>
  <c r="H160" i="9" s="1"/>
  <c r="F160" i="9"/>
  <c r="E160" i="9"/>
  <c r="D160" i="9"/>
  <c r="C160" i="9"/>
  <c r="B160" i="9"/>
  <c r="G159" i="9"/>
  <c r="H158" i="9"/>
  <c r="I158" i="9" s="1"/>
  <c r="J158" i="9" s="1"/>
  <c r="K158" i="9" s="1"/>
  <c r="G157" i="9"/>
  <c r="G156" i="9"/>
  <c r="H156" i="9" s="1"/>
  <c r="G155" i="9"/>
  <c r="H155" i="9" s="1"/>
  <c r="I155" i="9" s="1"/>
  <c r="J155" i="9" s="1"/>
  <c r="F143" i="9"/>
  <c r="E143" i="9"/>
  <c r="D143" i="9"/>
  <c r="C143" i="9"/>
  <c r="B143" i="9"/>
  <c r="F142" i="9"/>
  <c r="G142" i="9" s="1"/>
  <c r="E142" i="9"/>
  <c r="D142" i="9"/>
  <c r="C142" i="9"/>
  <c r="B142" i="9"/>
  <c r="F140" i="9"/>
  <c r="E140" i="9"/>
  <c r="D140" i="9"/>
  <c r="C140" i="9"/>
  <c r="B140" i="9"/>
  <c r="F139" i="9"/>
  <c r="E139" i="9"/>
  <c r="D139" i="9"/>
  <c r="C139" i="9"/>
  <c r="B139" i="9"/>
  <c r="F138" i="9"/>
  <c r="E138" i="9"/>
  <c r="D138" i="9"/>
  <c r="C138" i="9"/>
  <c r="B138" i="9"/>
  <c r="F137" i="9"/>
  <c r="E137" i="9"/>
  <c r="D137" i="9"/>
  <c r="C137" i="9"/>
  <c r="B137" i="9"/>
  <c r="F136" i="9"/>
  <c r="E136" i="9"/>
  <c r="D136" i="9"/>
  <c r="C136" i="9"/>
  <c r="B136" i="9"/>
  <c r="F135" i="9"/>
  <c r="E135" i="9"/>
  <c r="D135" i="9"/>
  <c r="C135" i="9"/>
  <c r="B135" i="9"/>
  <c r="F134" i="9"/>
  <c r="E134" i="9"/>
  <c r="D134" i="9"/>
  <c r="C134" i="9"/>
  <c r="B134" i="9"/>
  <c r="F133" i="9"/>
  <c r="E133" i="9"/>
  <c r="D133" i="9"/>
  <c r="C133" i="9"/>
  <c r="B133" i="9"/>
  <c r="F132" i="9"/>
  <c r="E132" i="9"/>
  <c r="D132" i="9"/>
  <c r="C132" i="9"/>
  <c r="B132" i="9"/>
  <c r="F131" i="9"/>
  <c r="E131" i="9"/>
  <c r="D131" i="9"/>
  <c r="C131" i="9"/>
  <c r="B131" i="9"/>
  <c r="F130" i="9"/>
  <c r="F159" i="9" s="1"/>
  <c r="E130" i="9"/>
  <c r="E159" i="9" s="1"/>
  <c r="D130" i="9"/>
  <c r="D159" i="9" s="1"/>
  <c r="C130" i="9"/>
  <c r="C159" i="9" s="1"/>
  <c r="B130" i="9"/>
  <c r="G129" i="9"/>
  <c r="G49" i="9" s="1"/>
  <c r="F129" i="9"/>
  <c r="E129" i="9"/>
  <c r="D129" i="9"/>
  <c r="C129" i="9"/>
  <c r="B129" i="9"/>
  <c r="F128" i="9"/>
  <c r="E128" i="9"/>
  <c r="D128" i="9"/>
  <c r="C128" i="9"/>
  <c r="B128" i="9"/>
  <c r="F127" i="9"/>
  <c r="E127" i="9"/>
  <c r="D127" i="9"/>
  <c r="C127" i="9"/>
  <c r="B127" i="9"/>
  <c r="F126" i="9"/>
  <c r="E126" i="9"/>
  <c r="D126" i="9"/>
  <c r="C126" i="9"/>
  <c r="B126" i="9"/>
  <c r="F125" i="9"/>
  <c r="E125" i="9"/>
  <c r="D125" i="9"/>
  <c r="C125" i="9"/>
  <c r="B125" i="9"/>
  <c r="F124" i="9"/>
  <c r="E124" i="9"/>
  <c r="D124" i="9"/>
  <c r="C124" i="9"/>
  <c r="B124" i="9"/>
  <c r="F121" i="9"/>
  <c r="F154" i="9" s="1"/>
  <c r="E121" i="9"/>
  <c r="E154" i="9" s="1"/>
  <c r="D121" i="9"/>
  <c r="D154" i="9" s="1"/>
  <c r="C121" i="9"/>
  <c r="C154" i="9" s="1"/>
  <c r="B121" i="9"/>
  <c r="F120" i="9"/>
  <c r="F150" i="9" s="1"/>
  <c r="E120" i="9"/>
  <c r="E150" i="9" s="1"/>
  <c r="D120" i="9"/>
  <c r="D150" i="9" s="1"/>
  <c r="C120" i="9"/>
  <c r="C150" i="9" s="1"/>
  <c r="F117" i="9"/>
  <c r="F153" i="9" s="1"/>
  <c r="E117" i="9"/>
  <c r="E153" i="9" s="1"/>
  <c r="D117" i="9"/>
  <c r="D153" i="9" s="1"/>
  <c r="C117" i="9"/>
  <c r="C153" i="9" s="1"/>
  <c r="B117" i="9"/>
  <c r="F116" i="9"/>
  <c r="F149" i="9" s="1"/>
  <c r="E116" i="9"/>
  <c r="E149" i="9" s="1"/>
  <c r="D116" i="9"/>
  <c r="D149" i="9" s="1"/>
  <c r="C116" i="9"/>
  <c r="C149" i="9" s="1"/>
  <c r="F112" i="9"/>
  <c r="E112" i="9"/>
  <c r="D112" i="9"/>
  <c r="C112" i="9"/>
  <c r="B112" i="9"/>
  <c r="F110" i="9"/>
  <c r="E110" i="9"/>
  <c r="D110" i="9"/>
  <c r="C110" i="9"/>
  <c r="B110" i="9"/>
  <c r="F109" i="9"/>
  <c r="F148" i="9" s="1"/>
  <c r="E109" i="9"/>
  <c r="E148" i="9" s="1"/>
  <c r="D109" i="9"/>
  <c r="D148" i="9" s="1"/>
  <c r="C109" i="9"/>
  <c r="C148" i="9" s="1"/>
  <c r="F104" i="9"/>
  <c r="E104" i="9"/>
  <c r="D104" i="9"/>
  <c r="C104" i="9"/>
  <c r="B104" i="9"/>
  <c r="F99" i="9"/>
  <c r="E99" i="9"/>
  <c r="D99" i="9"/>
  <c r="C99" i="9"/>
  <c r="B99" i="9"/>
  <c r="F90" i="9"/>
  <c r="G88" i="9" s="1"/>
  <c r="F59" i="9"/>
  <c r="G56" i="9" s="1"/>
  <c r="F37" i="9"/>
  <c r="G34" i="9" s="1"/>
  <c r="F30" i="9"/>
  <c r="E30" i="9"/>
  <c r="D30" i="9"/>
  <c r="C30" i="9"/>
  <c r="B30" i="9"/>
  <c r="G29" i="9"/>
  <c r="H29" i="9" s="1"/>
  <c r="I29" i="9" s="1"/>
  <c r="J29" i="9" s="1"/>
  <c r="K29" i="9" s="1"/>
  <c r="G27" i="9"/>
  <c r="H27" i="9" s="1"/>
  <c r="I27" i="9" s="1"/>
  <c r="J27" i="9" s="1"/>
  <c r="K27" i="9" s="1"/>
  <c r="G26" i="9"/>
  <c r="F24" i="9"/>
  <c r="E24" i="9"/>
  <c r="D24" i="9"/>
  <c r="D31" i="9" s="1"/>
  <c r="C24" i="9"/>
  <c r="B24" i="9"/>
  <c r="G15" i="9"/>
  <c r="H15" i="9" s="1"/>
  <c r="I15" i="9" s="1"/>
  <c r="J15" i="9" s="1"/>
  <c r="K15" i="9" s="1"/>
  <c r="H4" i="9"/>
  <c r="H3" i="9"/>
  <c r="I3" i="9" s="1"/>
  <c r="J3" i="9" s="1"/>
  <c r="K3" i="9" s="1"/>
  <c r="J15" i="10" l="1"/>
  <c r="I3" i="10"/>
  <c r="I10" i="10"/>
  <c r="J5" i="10"/>
  <c r="H10" i="10"/>
  <c r="H3" i="10"/>
  <c r="H6" i="10" s="1"/>
  <c r="H4" i="10"/>
  <c r="G19" i="10"/>
  <c r="K238" i="9"/>
  <c r="L238" i="9"/>
  <c r="K230" i="9"/>
  <c r="N234" i="9"/>
  <c r="K233" i="9"/>
  <c r="N239" i="9"/>
  <c r="L241" i="9"/>
  <c r="J240" i="9"/>
  <c r="N231" i="9"/>
  <c r="M239" i="9"/>
  <c r="M241" i="9"/>
  <c r="L233" i="9"/>
  <c r="M231" i="9"/>
  <c r="J239" i="9"/>
  <c r="J148" i="9"/>
  <c r="J234" i="9"/>
  <c r="L232" i="9"/>
  <c r="M240" i="9"/>
  <c r="M230" i="9"/>
  <c r="N233" i="9"/>
  <c r="K232" i="9"/>
  <c r="N238" i="9"/>
  <c r="J242" i="9"/>
  <c r="L240" i="9"/>
  <c r="N230" i="9"/>
  <c r="J238" i="9"/>
  <c r="K242" i="9"/>
  <c r="L230" i="9"/>
  <c r="M233" i="9"/>
  <c r="J232" i="9"/>
  <c r="M238" i="9"/>
  <c r="N241" i="9"/>
  <c r="K240" i="9"/>
  <c r="M234" i="9"/>
  <c r="J233" i="9"/>
  <c r="L231" i="9"/>
  <c r="K241" i="9"/>
  <c r="L234" i="9"/>
  <c r="N232" i="9"/>
  <c r="K231" i="9"/>
  <c r="M242" i="9"/>
  <c r="J241" i="9"/>
  <c r="L239" i="9"/>
  <c r="N242" i="9"/>
  <c r="J230" i="9"/>
  <c r="K234" i="9"/>
  <c r="M232" i="9"/>
  <c r="J231" i="9"/>
  <c r="L242" i="9"/>
  <c r="N240" i="9"/>
  <c r="H109" i="9"/>
  <c r="H108" i="9" s="1"/>
  <c r="G102" i="9"/>
  <c r="G103" i="9"/>
  <c r="C31" i="9"/>
  <c r="B31" i="9"/>
  <c r="E31" i="9"/>
  <c r="F156" i="9"/>
  <c r="D158" i="9"/>
  <c r="B162" i="9"/>
  <c r="F166" i="9"/>
  <c r="F111" i="9"/>
  <c r="B171" i="9"/>
  <c r="F157" i="9"/>
  <c r="F168" i="9"/>
  <c r="C171" i="9"/>
  <c r="F165" i="9"/>
  <c r="G110" i="9"/>
  <c r="H110" i="9" s="1"/>
  <c r="I110" i="9" s="1"/>
  <c r="J110" i="9" s="1"/>
  <c r="K110" i="9" s="1"/>
  <c r="C113" i="9"/>
  <c r="C152" i="9" s="1"/>
  <c r="B155" i="9"/>
  <c r="E156" i="9"/>
  <c r="C158" i="9"/>
  <c r="D164" i="9"/>
  <c r="E167" i="9"/>
  <c r="C169" i="9"/>
  <c r="C167" i="9"/>
  <c r="C155" i="9"/>
  <c r="E164" i="9"/>
  <c r="C166" i="9"/>
  <c r="F167" i="9"/>
  <c r="D169" i="9"/>
  <c r="C164" i="9"/>
  <c r="D167" i="9"/>
  <c r="D155" i="9"/>
  <c r="C163" i="9"/>
  <c r="F164" i="9"/>
  <c r="H142" i="9"/>
  <c r="H22" i="9" s="1"/>
  <c r="G22" i="9"/>
  <c r="G81" i="9" s="1"/>
  <c r="G83" i="9" s="1"/>
  <c r="D171" i="9"/>
  <c r="E165" i="9"/>
  <c r="D166" i="9"/>
  <c r="E162" i="9"/>
  <c r="F171" i="9"/>
  <c r="E166" i="9"/>
  <c r="F251" i="9"/>
  <c r="G251" i="9" s="1"/>
  <c r="D113" i="9"/>
  <c r="D152" i="9" s="1"/>
  <c r="E111" i="9"/>
  <c r="B156" i="9"/>
  <c r="E155" i="9"/>
  <c r="F161" i="9"/>
  <c r="D163" i="9"/>
  <c r="E171" i="9"/>
  <c r="F155" i="9"/>
  <c r="E163" i="9"/>
  <c r="D168" i="9"/>
  <c r="F31" i="9"/>
  <c r="E157" i="9"/>
  <c r="F163" i="9"/>
  <c r="D165" i="9"/>
  <c r="E168" i="9"/>
  <c r="F250" i="9"/>
  <c r="G250" i="9" s="1"/>
  <c r="H26" i="9"/>
  <c r="K163" i="9"/>
  <c r="K155" i="9"/>
  <c r="I165" i="9"/>
  <c r="E169" i="9"/>
  <c r="H159" i="9"/>
  <c r="G130" i="9"/>
  <c r="G50" i="9" s="1"/>
  <c r="B188" i="9"/>
  <c r="B182" i="9" s="1"/>
  <c r="F169" i="9"/>
  <c r="H157" i="9"/>
  <c r="B215" i="9"/>
  <c r="E113" i="9"/>
  <c r="E152" i="9" s="1"/>
  <c r="E161" i="9"/>
  <c r="E158" i="9"/>
  <c r="F158" i="9"/>
  <c r="I156" i="9"/>
  <c r="I160" i="9"/>
  <c r="B157" i="9"/>
  <c r="C161" i="9"/>
  <c r="B169" i="9"/>
  <c r="C111" i="9"/>
  <c r="C157" i="9"/>
  <c r="I164" i="9"/>
  <c r="B168" i="9"/>
  <c r="F113" i="9"/>
  <c r="F152" i="9" s="1"/>
  <c r="D111" i="9"/>
  <c r="C156" i="9"/>
  <c r="D157" i="9"/>
  <c r="C162" i="9"/>
  <c r="B165" i="9"/>
  <c r="B166" i="9"/>
  <c r="C168" i="9"/>
  <c r="B161" i="9"/>
  <c r="D156" i="9"/>
  <c r="D161" i="9"/>
  <c r="D162" i="9"/>
  <c r="B163" i="9"/>
  <c r="B164" i="9"/>
  <c r="C165" i="9"/>
  <c r="B167" i="9"/>
  <c r="F162" i="9"/>
  <c r="F249" i="9"/>
  <c r="G249" i="9" s="1"/>
  <c r="G112" i="9"/>
  <c r="J10" i="10" l="1"/>
  <c r="K5" i="10"/>
  <c r="K10" i="10" s="1"/>
  <c r="H19" i="10"/>
  <c r="G8" i="10"/>
  <c r="G11" i="10" s="1"/>
  <c r="H9" i="10"/>
  <c r="I4" i="10"/>
  <c r="K15" i="10"/>
  <c r="J3" i="10"/>
  <c r="I109" i="9"/>
  <c r="I108" i="9" s="1"/>
  <c r="I96" i="9" s="1"/>
  <c r="H117" i="9"/>
  <c r="H120" i="9"/>
  <c r="H98" i="9" s="1"/>
  <c r="H116" i="9"/>
  <c r="H97" i="9" s="1"/>
  <c r="H102" i="9" s="1"/>
  <c r="H113" i="9"/>
  <c r="H112" i="9" s="1"/>
  <c r="H121" i="9"/>
  <c r="G96" i="9"/>
  <c r="G99" i="9" s="1"/>
  <c r="G124" i="9" s="1"/>
  <c r="I142" i="9"/>
  <c r="I22" i="9" s="1"/>
  <c r="I81" i="9" s="1"/>
  <c r="I83" i="9" s="1"/>
  <c r="H96" i="9"/>
  <c r="H81" i="9"/>
  <c r="H83" i="9" s="1"/>
  <c r="G101" i="9"/>
  <c r="G104" i="9" s="1"/>
  <c r="G125" i="9" s="1"/>
  <c r="J164" i="9"/>
  <c r="I157" i="9"/>
  <c r="J165" i="9"/>
  <c r="J160" i="9"/>
  <c r="J142" i="9"/>
  <c r="I26" i="9"/>
  <c r="B181" i="9"/>
  <c r="B183" i="9" s="1"/>
  <c r="I159" i="9"/>
  <c r="H130" i="9"/>
  <c r="H50" i="9" s="1"/>
  <c r="J156" i="9"/>
  <c r="K3" i="10" l="1"/>
  <c r="I9" i="10"/>
  <c r="J4" i="10"/>
  <c r="I19" i="10"/>
  <c r="H8" i="10"/>
  <c r="H11" i="10" s="1"/>
  <c r="I6" i="10"/>
  <c r="J6" i="10"/>
  <c r="H103" i="9"/>
  <c r="G40" i="9"/>
  <c r="G4" i="8" s="1"/>
  <c r="G127" i="9"/>
  <c r="G43" i="9" s="1"/>
  <c r="H99" i="9"/>
  <c r="H124" i="9" s="1"/>
  <c r="H40" i="9" s="1"/>
  <c r="H4" i="8" s="1"/>
  <c r="I116" i="9"/>
  <c r="I97" i="9" s="1"/>
  <c r="I120" i="9"/>
  <c r="I98" i="9" s="1"/>
  <c r="I113" i="9"/>
  <c r="I112" i="9" s="1"/>
  <c r="I121" i="9"/>
  <c r="I117" i="9"/>
  <c r="J109" i="9"/>
  <c r="J108" i="9" s="1"/>
  <c r="J96" i="9" s="1"/>
  <c r="K109" i="9"/>
  <c r="G134" i="9"/>
  <c r="G10" i="9" s="1"/>
  <c r="G66" i="9" s="1"/>
  <c r="G202" i="9" s="1"/>
  <c r="G143" i="9"/>
  <c r="G35" i="9" s="1"/>
  <c r="G133" i="9"/>
  <c r="G9" i="9" s="1"/>
  <c r="G75" i="9" s="1"/>
  <c r="G137" i="9"/>
  <c r="G128" i="9"/>
  <c r="G44" i="9" s="1"/>
  <c r="G139" i="9"/>
  <c r="G20" i="9" s="1"/>
  <c r="G136" i="9"/>
  <c r="G12" i="9" s="1"/>
  <c r="G68" i="9" s="1"/>
  <c r="G204" i="9" s="1"/>
  <c r="G132" i="9"/>
  <c r="G7" i="9" s="1"/>
  <c r="G91" i="9" s="1"/>
  <c r="G126" i="9"/>
  <c r="G36" i="9" s="1"/>
  <c r="K211" i="9"/>
  <c r="J211" i="9"/>
  <c r="I211" i="9"/>
  <c r="H211" i="9"/>
  <c r="G211" i="9"/>
  <c r="K142" i="9"/>
  <c r="K22" i="9" s="1"/>
  <c r="J22" i="9"/>
  <c r="J81" i="9" s="1"/>
  <c r="J83" i="9" s="1"/>
  <c r="K165" i="9"/>
  <c r="J159" i="9"/>
  <c r="I130" i="9"/>
  <c r="I50" i="9" s="1"/>
  <c r="K156" i="9"/>
  <c r="J26" i="9"/>
  <c r="J157" i="9"/>
  <c r="G138" i="9"/>
  <c r="G19" i="9" s="1"/>
  <c r="G135" i="9"/>
  <c r="G11" i="9" s="1"/>
  <c r="G67" i="9" s="1"/>
  <c r="G203" i="9" s="1"/>
  <c r="G41" i="9"/>
  <c r="H101" i="9"/>
  <c r="K160" i="9"/>
  <c r="K164" i="9"/>
  <c r="H104" i="9" l="1"/>
  <c r="H125" i="9" s="1"/>
  <c r="J19" i="10"/>
  <c r="I8" i="10"/>
  <c r="I11" i="10" s="1"/>
  <c r="J9" i="10"/>
  <c r="K4" i="10"/>
  <c r="K9" i="10" s="1"/>
  <c r="K6" i="10"/>
  <c r="G42" i="9"/>
  <c r="H136" i="9"/>
  <c r="H12" i="9" s="1"/>
  <c r="H68" i="9" s="1"/>
  <c r="H204" i="9" s="1"/>
  <c r="H137" i="9"/>
  <c r="H128" i="9"/>
  <c r="H44" i="9" s="1"/>
  <c r="H134" i="9"/>
  <c r="H10" i="9" s="1"/>
  <c r="H66" i="9" s="1"/>
  <c r="H202" i="9" s="1"/>
  <c r="H143" i="9"/>
  <c r="H35" i="9" s="1"/>
  <c r="H126" i="9"/>
  <c r="H36" i="9" s="1"/>
  <c r="H133" i="9"/>
  <c r="H9" i="9" s="1"/>
  <c r="H75" i="9" s="1"/>
  <c r="H139" i="9"/>
  <c r="H20" i="9" s="1"/>
  <c r="I103" i="9"/>
  <c r="H127" i="9"/>
  <c r="H43" i="9" s="1"/>
  <c r="H132" i="9"/>
  <c r="H7" i="9" s="1"/>
  <c r="H91" i="9" s="1"/>
  <c r="I99" i="9"/>
  <c r="I124" i="9" s="1"/>
  <c r="I40" i="9" s="1"/>
  <c r="I4" i="8" s="1"/>
  <c r="I102" i="9"/>
  <c r="K108" i="9"/>
  <c r="K96" i="9" s="1"/>
  <c r="J121" i="9"/>
  <c r="K121" i="9"/>
  <c r="K113" i="9"/>
  <c r="J113" i="9"/>
  <c r="J112" i="9" s="1"/>
  <c r="K120" i="9"/>
  <c r="J120" i="9"/>
  <c r="J98" i="9" s="1"/>
  <c r="J117" i="9"/>
  <c r="K117" i="9"/>
  <c r="G46" i="9"/>
  <c r="G197" i="9" s="1"/>
  <c r="G201" i="9" s="1"/>
  <c r="K116" i="9"/>
  <c r="J116" i="9"/>
  <c r="J97" i="9" s="1"/>
  <c r="G74" i="9"/>
  <c r="G76" i="9" s="1"/>
  <c r="G8" i="8" s="1"/>
  <c r="G140" i="9"/>
  <c r="G23" i="9" s="1"/>
  <c r="G70" i="9" s="1"/>
  <c r="G206" i="9" s="1"/>
  <c r="G64" i="9"/>
  <c r="G69" i="9"/>
  <c r="G205" i="9" s="1"/>
  <c r="K157" i="9"/>
  <c r="K26" i="9"/>
  <c r="K81" i="9"/>
  <c r="K83" i="9" s="1"/>
  <c r="G37" i="9"/>
  <c r="J130" i="9"/>
  <c r="J50" i="9" s="1"/>
  <c r="K159" i="9"/>
  <c r="K130" i="9" s="1"/>
  <c r="K50" i="9" s="1"/>
  <c r="I101" i="9"/>
  <c r="H138" i="9"/>
  <c r="H19" i="9" s="1"/>
  <c r="H41" i="9"/>
  <c r="H42" i="9" s="1"/>
  <c r="H5" i="8" s="1"/>
  <c r="H135" i="9"/>
  <c r="H11" i="9" s="1"/>
  <c r="H67" i="9" s="1"/>
  <c r="H203" i="9" s="1"/>
  <c r="G45" i="9" l="1"/>
  <c r="G5" i="8"/>
  <c r="K19" i="10"/>
  <c r="K8" i="10" s="1"/>
  <c r="K11" i="10" s="1"/>
  <c r="J8" i="10"/>
  <c r="J11" i="10" s="1"/>
  <c r="H140" i="9"/>
  <c r="H23" i="9" s="1"/>
  <c r="H70" i="9" s="1"/>
  <c r="H206" i="9" s="1"/>
  <c r="H74" i="9"/>
  <c r="H207" i="9" s="1"/>
  <c r="H46" i="9"/>
  <c r="H197" i="9" s="1"/>
  <c r="H201" i="9" s="1"/>
  <c r="H64" i="9"/>
  <c r="H45" i="9"/>
  <c r="H196" i="9" s="1"/>
  <c r="I132" i="9"/>
  <c r="I7" i="9" s="1"/>
  <c r="I91" i="9" s="1"/>
  <c r="I104" i="9"/>
  <c r="I125" i="9" s="1"/>
  <c r="I41" i="9" s="1"/>
  <c r="I42" i="9" s="1"/>
  <c r="I5" i="8" s="1"/>
  <c r="J103" i="9"/>
  <c r="I133" i="9"/>
  <c r="I9" i="9" s="1"/>
  <c r="I75" i="9" s="1"/>
  <c r="I137" i="9"/>
  <c r="I143" i="9"/>
  <c r="I35" i="9" s="1"/>
  <c r="I128" i="9"/>
  <c r="I44" i="9" s="1"/>
  <c r="I126" i="9"/>
  <c r="I46" i="9" s="1"/>
  <c r="I197" i="9" s="1"/>
  <c r="I201" i="9" s="1"/>
  <c r="I127" i="9"/>
  <c r="I43" i="9" s="1"/>
  <c r="I136" i="9"/>
  <c r="I12" i="9" s="1"/>
  <c r="I68" i="9" s="1"/>
  <c r="I204" i="9" s="1"/>
  <c r="I139" i="9"/>
  <c r="I20" i="9" s="1"/>
  <c r="I134" i="9"/>
  <c r="I10" i="9" s="1"/>
  <c r="I66" i="9" s="1"/>
  <c r="I202" i="9" s="1"/>
  <c r="K97" i="9"/>
  <c r="K102" i="9" s="1"/>
  <c r="K98" i="9"/>
  <c r="K103" i="9" s="1"/>
  <c r="G48" i="9"/>
  <c r="G52" i="9" s="1"/>
  <c r="G53" i="9" s="1"/>
  <c r="J99" i="9"/>
  <c r="J124" i="9" s="1"/>
  <c r="J40" i="9" s="1"/>
  <c r="J4" i="8" s="1"/>
  <c r="J102" i="9"/>
  <c r="G207" i="9"/>
  <c r="G196" i="9"/>
  <c r="G198" i="9" s="1"/>
  <c r="H34" i="9"/>
  <c r="H37" i="9" s="1"/>
  <c r="G13" i="9"/>
  <c r="H69" i="9"/>
  <c r="H205" i="9" s="1"/>
  <c r="K112" i="9"/>
  <c r="K101" i="9" s="1"/>
  <c r="J101" i="9"/>
  <c r="H198" i="9" l="1"/>
  <c r="I64" i="9"/>
  <c r="H76" i="9"/>
  <c r="H8" i="8" s="1"/>
  <c r="I135" i="9"/>
  <c r="I11" i="9" s="1"/>
  <c r="I67" i="9" s="1"/>
  <c r="I203" i="9" s="1"/>
  <c r="H48" i="9"/>
  <c r="I138" i="9"/>
  <c r="I19" i="9" s="1"/>
  <c r="I69" i="9" s="1"/>
  <c r="I205" i="9" s="1"/>
  <c r="K104" i="9"/>
  <c r="K125" i="9" s="1"/>
  <c r="I74" i="9"/>
  <c r="I207" i="9" s="1"/>
  <c r="I36" i="9"/>
  <c r="I140" i="9"/>
  <c r="I23" i="9" s="1"/>
  <c r="I70" i="9" s="1"/>
  <c r="I206" i="9" s="1"/>
  <c r="K99" i="9"/>
  <c r="K124" i="9" s="1"/>
  <c r="K40" i="9" s="1"/>
  <c r="K4" i="8" s="1"/>
  <c r="I45" i="9"/>
  <c r="I196" i="9" s="1"/>
  <c r="I198" i="9" s="1"/>
  <c r="J137" i="9"/>
  <c r="J143" i="9"/>
  <c r="J35" i="9" s="1"/>
  <c r="J139" i="9"/>
  <c r="J20" i="9" s="1"/>
  <c r="J132" i="9"/>
  <c r="J7" i="9" s="1"/>
  <c r="J91" i="9" s="1"/>
  <c r="J133" i="9"/>
  <c r="J9" i="9" s="1"/>
  <c r="J75" i="9" s="1"/>
  <c r="J128" i="9"/>
  <c r="J44" i="9" s="1"/>
  <c r="J127" i="9"/>
  <c r="J43" i="9" s="1"/>
  <c r="J136" i="9"/>
  <c r="J12" i="9" s="1"/>
  <c r="J68" i="9" s="1"/>
  <c r="J204" i="9" s="1"/>
  <c r="J104" i="9"/>
  <c r="J125" i="9" s="1"/>
  <c r="J138" i="9" s="1"/>
  <c r="J19" i="9" s="1"/>
  <c r="J126" i="9"/>
  <c r="J36" i="9" s="1"/>
  <c r="J134" i="9"/>
  <c r="J10" i="9" s="1"/>
  <c r="J66" i="9" s="1"/>
  <c r="J202" i="9" s="1"/>
  <c r="I34" i="9"/>
  <c r="H13" i="9"/>
  <c r="G131" i="9"/>
  <c r="G199" i="9"/>
  <c r="G200" i="9" s="1"/>
  <c r="G208" i="9" s="1"/>
  <c r="G210" i="9" s="1"/>
  <c r="G212" i="9" s="1"/>
  <c r="G54" i="9"/>
  <c r="I76" i="9" l="1"/>
  <c r="I8" i="8" s="1"/>
  <c r="I37" i="9"/>
  <c r="I13" i="9" s="1"/>
  <c r="K139" i="9"/>
  <c r="K20" i="9" s="1"/>
  <c r="K143" i="9"/>
  <c r="K74" i="9" s="1"/>
  <c r="K127" i="9"/>
  <c r="K43" i="9" s="1"/>
  <c r="K136" i="9"/>
  <c r="K12" i="9" s="1"/>
  <c r="K68" i="9" s="1"/>
  <c r="K204" i="9" s="1"/>
  <c r="K132" i="9"/>
  <c r="K7" i="9" s="1"/>
  <c r="K91" i="9" s="1"/>
  <c r="K126" i="9"/>
  <c r="K64" i="9" s="1"/>
  <c r="K128" i="9"/>
  <c r="K44" i="9" s="1"/>
  <c r="K134" i="9"/>
  <c r="K10" i="9" s="1"/>
  <c r="K66" i="9" s="1"/>
  <c r="K202" i="9" s="1"/>
  <c r="K133" i="9"/>
  <c r="K9" i="9" s="1"/>
  <c r="K75" i="9" s="1"/>
  <c r="I48" i="9"/>
  <c r="K137" i="9"/>
  <c r="J74" i="9"/>
  <c r="J76" i="9" s="1"/>
  <c r="J8" i="8" s="1"/>
  <c r="J41" i="9"/>
  <c r="J42" i="9" s="1"/>
  <c r="J64" i="9"/>
  <c r="J46" i="9"/>
  <c r="J197" i="9" s="1"/>
  <c r="J201" i="9" s="1"/>
  <c r="J135" i="9"/>
  <c r="J11" i="9" s="1"/>
  <c r="J67" i="9" s="1"/>
  <c r="J203" i="9" s="1"/>
  <c r="J140" i="9"/>
  <c r="J23" i="9" s="1"/>
  <c r="J70" i="9" s="1"/>
  <c r="J206" i="9" s="1"/>
  <c r="G63" i="9"/>
  <c r="G71" i="9" s="1"/>
  <c r="G57" i="9"/>
  <c r="G59" i="9" s="1"/>
  <c r="K41" i="9"/>
  <c r="K42" i="9" s="1"/>
  <c r="K5" i="8" s="1"/>
  <c r="K138" i="9"/>
  <c r="K19" i="9" s="1"/>
  <c r="K135" i="9"/>
  <c r="K11" i="9" s="1"/>
  <c r="J69" i="9"/>
  <c r="J205" i="9" s="1"/>
  <c r="G86" i="9" l="1"/>
  <c r="G89" i="9" s="1"/>
  <c r="G90" i="9" s="1"/>
  <c r="G7" i="8"/>
  <c r="J45" i="9"/>
  <c r="J196" i="9" s="1"/>
  <c r="J198" i="9" s="1"/>
  <c r="J5" i="8"/>
  <c r="K35" i="9"/>
  <c r="J34" i="9"/>
  <c r="J37" i="9" s="1"/>
  <c r="K34" i="9" s="1"/>
  <c r="K46" i="9"/>
  <c r="K197" i="9" s="1"/>
  <c r="K201" i="9" s="1"/>
  <c r="K36" i="9"/>
  <c r="K140" i="9"/>
  <c r="K23" i="9" s="1"/>
  <c r="K70" i="9" s="1"/>
  <c r="K206" i="9" s="1"/>
  <c r="K45" i="9"/>
  <c r="K196" i="9" s="1"/>
  <c r="K67" i="9"/>
  <c r="K203" i="9" s="1"/>
  <c r="J207" i="9"/>
  <c r="G28" i="9"/>
  <c r="G30" i="9" s="1"/>
  <c r="H56" i="9"/>
  <c r="H88" i="9"/>
  <c r="G92" i="9"/>
  <c r="K69" i="9"/>
  <c r="K205" i="9" s="1"/>
  <c r="K207" i="9"/>
  <c r="K76" i="9"/>
  <c r="K8" i="8" s="1"/>
  <c r="J48" i="9" l="1"/>
  <c r="J13" i="9"/>
  <c r="K37" i="9"/>
  <c r="K13" i="9" s="1"/>
  <c r="K48" i="9"/>
  <c r="G8" i="9"/>
  <c r="G21" i="9"/>
  <c r="G24" i="9" s="1"/>
  <c r="G31" i="9" s="1"/>
  <c r="K209" i="9"/>
  <c r="K198" i="9"/>
  <c r="G16" i="9" l="1"/>
  <c r="H129" i="9"/>
  <c r="H49" i="9" s="1"/>
  <c r="H52" i="9" s="1"/>
  <c r="H53" i="9" l="1"/>
  <c r="H131" i="9" l="1"/>
  <c r="H199" i="9"/>
  <c r="H200" i="9" s="1"/>
  <c r="H208" i="9" s="1"/>
  <c r="H210" i="9" s="1"/>
  <c r="H212" i="9" s="1"/>
  <c r="H54" i="9"/>
  <c r="H57" i="9" l="1"/>
  <c r="H59" i="9" s="1"/>
  <c r="H63" i="9"/>
  <c r="H71" i="9" s="1"/>
  <c r="H86" i="9" l="1"/>
  <c r="H89" i="9" s="1"/>
  <c r="H90" i="9" s="1"/>
  <c r="H7" i="8"/>
  <c r="I88" i="9"/>
  <c r="H92" i="9"/>
  <c r="H28" i="9"/>
  <c r="H30" i="9" s="1"/>
  <c r="I56" i="9"/>
  <c r="H21" i="9" l="1"/>
  <c r="H24" i="9" s="1"/>
  <c r="H31" i="9" s="1"/>
  <c r="H8" i="9"/>
  <c r="H16" i="9" l="1"/>
  <c r="H32" i="9" s="1"/>
  <c r="I129" i="9"/>
  <c r="I49" i="9" s="1"/>
  <c r="I52" i="9" s="1"/>
  <c r="I53" i="9" l="1"/>
  <c r="I131" i="9" l="1"/>
  <c r="I199" i="9"/>
  <c r="I200" i="9" s="1"/>
  <c r="I208" i="9" s="1"/>
  <c r="I210" i="9" s="1"/>
  <c r="I212" i="9" s="1"/>
  <c r="I54" i="9"/>
  <c r="I57" i="9" l="1"/>
  <c r="I59" i="9" s="1"/>
  <c r="I63" i="9"/>
  <c r="I71" i="9" s="1"/>
  <c r="I86" i="9" l="1"/>
  <c r="I89" i="9" s="1"/>
  <c r="I90" i="9" s="1"/>
  <c r="I92" i="9" s="1"/>
  <c r="I7" i="8"/>
  <c r="J88" i="9"/>
  <c r="I28" i="9"/>
  <c r="I30" i="9" s="1"/>
  <c r="J56" i="9"/>
  <c r="I21" i="9" l="1"/>
  <c r="I24" i="9" s="1"/>
  <c r="I31" i="9" s="1"/>
  <c r="I8" i="9"/>
  <c r="J129" i="9" l="1"/>
  <c r="J49" i="9" s="1"/>
  <c r="J52" i="9" s="1"/>
  <c r="I16" i="9"/>
  <c r="I32" i="9" s="1"/>
  <c r="J53" i="9" l="1"/>
  <c r="J131" i="9" l="1"/>
  <c r="J199" i="9"/>
  <c r="J200" i="9" s="1"/>
  <c r="J208" i="9" s="1"/>
  <c r="J210" i="9" s="1"/>
  <c r="J212" i="9" s="1"/>
  <c r="J54" i="9"/>
  <c r="J63" i="9" l="1"/>
  <c r="J71" i="9" s="1"/>
  <c r="J57" i="9"/>
  <c r="J59" i="9" s="1"/>
  <c r="J86" i="9" l="1"/>
  <c r="J89" i="9" s="1"/>
  <c r="J90" i="9" s="1"/>
  <c r="J7" i="8"/>
  <c r="J28" i="9"/>
  <c r="J30" i="9" s="1"/>
  <c r="K56" i="9"/>
  <c r="J92" i="9"/>
  <c r="K88" i="9"/>
  <c r="J21" i="9" l="1"/>
  <c r="J24" i="9" s="1"/>
  <c r="J31" i="9" s="1"/>
  <c r="J8" i="9"/>
  <c r="K129" i="9" l="1"/>
  <c r="K49" i="9" s="1"/>
  <c r="K52" i="9" s="1"/>
  <c r="J16" i="9"/>
  <c r="J32" i="9" s="1"/>
  <c r="C30" i="7"/>
  <c r="D30" i="7"/>
  <c r="E30" i="7"/>
  <c r="F30" i="7"/>
  <c r="B30" i="7"/>
  <c r="C24" i="7"/>
  <c r="D24" i="7"/>
  <c r="E24" i="7"/>
  <c r="F24" i="7"/>
  <c r="B24" i="7"/>
  <c r="D216" i="7"/>
  <c r="M201" i="7"/>
  <c r="N201" i="7" s="1"/>
  <c r="K201" i="7"/>
  <c r="J201" i="7" s="1"/>
  <c r="I205" i="7"/>
  <c r="I206" i="7" s="1"/>
  <c r="I203" i="7"/>
  <c r="I202" i="7" s="1"/>
  <c r="M193" i="7"/>
  <c r="N193" i="7" s="1"/>
  <c r="K193" i="7"/>
  <c r="J193" i="7" s="1"/>
  <c r="I197" i="7"/>
  <c r="I198" i="7" s="1"/>
  <c r="I195" i="7"/>
  <c r="I194" i="7" s="1"/>
  <c r="B205" i="7"/>
  <c r="B206" i="7" s="1"/>
  <c r="B203" i="7"/>
  <c r="B202" i="7" s="1"/>
  <c r="F201" i="7"/>
  <c r="G201" i="7" s="1"/>
  <c r="D201" i="7"/>
  <c r="C201" i="7" s="1"/>
  <c r="F193" i="7"/>
  <c r="G193" i="7" s="1"/>
  <c r="D193" i="7"/>
  <c r="C193" i="7" s="1"/>
  <c r="B197" i="7"/>
  <c r="B198" i="7" s="1"/>
  <c r="B195" i="7"/>
  <c r="B194" i="7" s="1"/>
  <c r="B186" i="7"/>
  <c r="L195" i="7" s="1"/>
  <c r="B184" i="7"/>
  <c r="B182" i="7"/>
  <c r="B181" i="7"/>
  <c r="B180" i="7"/>
  <c r="H3" i="7"/>
  <c r="I3" i="7" s="1"/>
  <c r="J3" i="7" s="1"/>
  <c r="K3" i="7" s="1"/>
  <c r="H133" i="7"/>
  <c r="I133" i="7" s="1"/>
  <c r="J133" i="7" s="1"/>
  <c r="K133" i="7" s="1"/>
  <c r="C111" i="7"/>
  <c r="D111" i="7"/>
  <c r="E111" i="7"/>
  <c r="F111" i="7"/>
  <c r="B111" i="7"/>
  <c r="G15" i="7"/>
  <c r="H15" i="7" s="1"/>
  <c r="I15" i="7" s="1"/>
  <c r="J15" i="7" s="1"/>
  <c r="K15" i="7" s="1"/>
  <c r="F90" i="7"/>
  <c r="G88" i="7" s="1"/>
  <c r="G29" i="7"/>
  <c r="H29" i="7" s="1"/>
  <c r="I29" i="7" s="1"/>
  <c r="J29" i="7" s="1"/>
  <c r="K29" i="7" s="1"/>
  <c r="G27" i="7"/>
  <c r="H27" i="7" s="1"/>
  <c r="I27" i="7" s="1"/>
  <c r="J27" i="7" s="1"/>
  <c r="K27" i="7" s="1"/>
  <c r="G26" i="7"/>
  <c r="H26" i="7" s="1"/>
  <c r="I26" i="7" s="1"/>
  <c r="J26" i="7" s="1"/>
  <c r="K26" i="7" s="1"/>
  <c r="H132" i="7"/>
  <c r="I132" i="7" s="1"/>
  <c r="J132" i="7" s="1"/>
  <c r="K132" i="7" s="1"/>
  <c r="C110" i="7"/>
  <c r="D110" i="7"/>
  <c r="E110" i="7"/>
  <c r="F110" i="7"/>
  <c r="B110" i="7"/>
  <c r="H130" i="7"/>
  <c r="I130" i="7" s="1"/>
  <c r="J130" i="7" s="1"/>
  <c r="K130" i="7" s="1"/>
  <c r="C108" i="7"/>
  <c r="D108" i="7"/>
  <c r="E108" i="7"/>
  <c r="F108" i="7"/>
  <c r="B108" i="7"/>
  <c r="F37" i="7"/>
  <c r="G34" i="7" s="1"/>
  <c r="H126" i="7"/>
  <c r="I126" i="7" s="1"/>
  <c r="J126" i="7" s="1"/>
  <c r="K126" i="7" s="1"/>
  <c r="C104" i="7"/>
  <c r="D104" i="7"/>
  <c r="E104" i="7"/>
  <c r="F104" i="7"/>
  <c r="B104" i="7"/>
  <c r="F59" i="7"/>
  <c r="G56" i="7" s="1"/>
  <c r="G100" i="7"/>
  <c r="G49" i="7" s="1"/>
  <c r="B150" i="7"/>
  <c r="B151" i="7"/>
  <c r="B179" i="7" s="1"/>
  <c r="B142" i="7"/>
  <c r="B144" i="7" s="1"/>
  <c r="B141" i="7"/>
  <c r="H125" i="7"/>
  <c r="I125" i="7" s="1"/>
  <c r="J125" i="7" s="1"/>
  <c r="K125" i="7" s="1"/>
  <c r="H127" i="7"/>
  <c r="I127" i="7" s="1"/>
  <c r="J127" i="7" s="1"/>
  <c r="K127" i="7" s="1"/>
  <c r="H128" i="7"/>
  <c r="I128" i="7" s="1"/>
  <c r="J128" i="7" s="1"/>
  <c r="K128" i="7" s="1"/>
  <c r="H129" i="7"/>
  <c r="I129" i="7" s="1"/>
  <c r="J129" i="7" s="1"/>
  <c r="K129" i="7" s="1"/>
  <c r="H131" i="7"/>
  <c r="I131" i="7" s="1"/>
  <c r="J131" i="7" s="1"/>
  <c r="K131" i="7" s="1"/>
  <c r="H122" i="7"/>
  <c r="I122" i="7" s="1"/>
  <c r="J122" i="7" s="1"/>
  <c r="K122" i="7" s="1"/>
  <c r="G135" i="7"/>
  <c r="H135" i="7" s="1"/>
  <c r="I135" i="7" s="1"/>
  <c r="J135" i="7" s="1"/>
  <c r="K135" i="7" s="1"/>
  <c r="G124" i="7"/>
  <c r="H124" i="7" s="1"/>
  <c r="I124" i="7" s="1"/>
  <c r="J124" i="7" s="1"/>
  <c r="K124" i="7" s="1"/>
  <c r="G123" i="7"/>
  <c r="H123" i="7" s="1"/>
  <c r="I123" i="7" s="1"/>
  <c r="J123" i="7" s="1"/>
  <c r="K123" i="7" s="1"/>
  <c r="G118" i="7"/>
  <c r="H118" i="7" s="1"/>
  <c r="I118" i="7" s="1"/>
  <c r="J118" i="7" s="1"/>
  <c r="K118" i="7" s="1"/>
  <c r="G119" i="7"/>
  <c r="H119" i="7" s="1"/>
  <c r="I119" i="7" s="1"/>
  <c r="J119" i="7" s="1"/>
  <c r="K119" i="7" s="1"/>
  <c r="G120" i="7"/>
  <c r="H120" i="7" s="1"/>
  <c r="I120" i="7" s="1"/>
  <c r="J120" i="7" s="1"/>
  <c r="K120" i="7" s="1"/>
  <c r="G121" i="7"/>
  <c r="H121" i="7" s="1"/>
  <c r="I121" i="7" s="1"/>
  <c r="J121" i="7" s="1"/>
  <c r="K121" i="7" s="1"/>
  <c r="G117" i="7"/>
  <c r="H117" i="7" s="1"/>
  <c r="I117" i="7" s="1"/>
  <c r="J117" i="7" s="1"/>
  <c r="K117" i="7" s="1"/>
  <c r="H4" i="7"/>
  <c r="C124" i="7"/>
  <c r="D124" i="7"/>
  <c r="E124" i="7"/>
  <c r="F124" i="7"/>
  <c r="C134" i="7"/>
  <c r="D134" i="7"/>
  <c r="E134" i="7"/>
  <c r="F134" i="7"/>
  <c r="B134" i="7"/>
  <c r="B124" i="7"/>
  <c r="C95" i="7"/>
  <c r="D95" i="7"/>
  <c r="E95" i="7"/>
  <c r="F95" i="7"/>
  <c r="C96" i="7"/>
  <c r="D96" i="7"/>
  <c r="E96" i="7"/>
  <c r="F96" i="7"/>
  <c r="C97" i="7"/>
  <c r="D97" i="7"/>
  <c r="E97" i="7"/>
  <c r="F97" i="7"/>
  <c r="C98" i="7"/>
  <c r="D98" i="7"/>
  <c r="E98" i="7"/>
  <c r="F98" i="7"/>
  <c r="C99" i="7"/>
  <c r="D99" i="7"/>
  <c r="E99" i="7"/>
  <c r="F99" i="7"/>
  <c r="C100" i="7"/>
  <c r="D100" i="7"/>
  <c r="E100" i="7"/>
  <c r="F100" i="7"/>
  <c r="C101" i="7"/>
  <c r="C123" i="7" s="1"/>
  <c r="D101" i="7"/>
  <c r="D123" i="7" s="1"/>
  <c r="E101" i="7"/>
  <c r="E123" i="7" s="1"/>
  <c r="F101" i="7"/>
  <c r="F123" i="7" s="1"/>
  <c r="C102" i="7"/>
  <c r="D102" i="7"/>
  <c r="E102" i="7"/>
  <c r="F102" i="7"/>
  <c r="C103" i="7"/>
  <c r="C125" i="7" s="1"/>
  <c r="D103" i="7"/>
  <c r="E103" i="7"/>
  <c r="F103" i="7"/>
  <c r="C105" i="7"/>
  <c r="D105" i="7"/>
  <c r="E105" i="7"/>
  <c r="F105" i="7"/>
  <c r="C106" i="7"/>
  <c r="D106" i="7"/>
  <c r="E106" i="7"/>
  <c r="F106" i="7"/>
  <c r="C107" i="7"/>
  <c r="D107" i="7"/>
  <c r="E107" i="7"/>
  <c r="F107" i="7"/>
  <c r="C109" i="7"/>
  <c r="D109" i="7"/>
  <c r="E109" i="7"/>
  <c r="F109" i="7"/>
  <c r="C113" i="7"/>
  <c r="D113" i="7"/>
  <c r="E113" i="7"/>
  <c r="F113" i="7"/>
  <c r="G113" i="7" s="1"/>
  <c r="G22" i="7" s="1"/>
  <c r="G81" i="7" s="1"/>
  <c r="G83" i="7" s="1"/>
  <c r="C114" i="7"/>
  <c r="C135" i="7" s="1"/>
  <c r="D114" i="7"/>
  <c r="E114" i="7"/>
  <c r="E135" i="7" s="1"/>
  <c r="F114" i="7"/>
  <c r="B114" i="7"/>
  <c r="B113" i="7"/>
  <c r="B109" i="7"/>
  <c r="B107" i="7"/>
  <c r="B106" i="7"/>
  <c r="B105" i="7"/>
  <c r="B103" i="7"/>
  <c r="B102" i="7"/>
  <c r="B101" i="7"/>
  <c r="B100" i="7"/>
  <c r="B99" i="7"/>
  <c r="B98" i="7"/>
  <c r="B97" i="7"/>
  <c r="B96" i="7"/>
  <c r="B95" i="7"/>
  <c r="M98" i="6"/>
  <c r="C122" i="6"/>
  <c r="K102" i="6" s="1"/>
  <c r="K103" i="6"/>
  <c r="K86" i="6"/>
  <c r="L86" i="6"/>
  <c r="M86" i="6"/>
  <c r="N86" i="6"/>
  <c r="N94" i="6" s="1"/>
  <c r="K87" i="6"/>
  <c r="K94" i="6" s="1"/>
  <c r="L87" i="6"/>
  <c r="L94" i="6" s="1"/>
  <c r="M87" i="6"/>
  <c r="M94" i="6" s="1"/>
  <c r="N87" i="6"/>
  <c r="K88" i="6"/>
  <c r="L88" i="6"/>
  <c r="M88" i="6"/>
  <c r="N88" i="6"/>
  <c r="K89" i="6"/>
  <c r="L89" i="6"/>
  <c r="M89" i="6"/>
  <c r="N89" i="6"/>
  <c r="K90" i="6"/>
  <c r="L90" i="6"/>
  <c r="M90" i="6"/>
  <c r="N90" i="6"/>
  <c r="K91" i="6"/>
  <c r="L91" i="6"/>
  <c r="M91" i="6"/>
  <c r="N91" i="6"/>
  <c r="K92" i="6"/>
  <c r="L92" i="6"/>
  <c r="M92" i="6"/>
  <c r="N92" i="6"/>
  <c r="K93" i="6"/>
  <c r="L93" i="6"/>
  <c r="M93" i="6"/>
  <c r="N93" i="6"/>
  <c r="K96" i="6"/>
  <c r="L96" i="6"/>
  <c r="L98" i="6" s="1"/>
  <c r="M96" i="6"/>
  <c r="N96" i="6"/>
  <c r="K97" i="6"/>
  <c r="L97" i="6"/>
  <c r="M97" i="6"/>
  <c r="N97" i="6"/>
  <c r="N98" i="6" s="1"/>
  <c r="K98" i="6"/>
  <c r="K100" i="6"/>
  <c r="L100" i="6"/>
  <c r="M100" i="6"/>
  <c r="N100" i="6"/>
  <c r="K101" i="6"/>
  <c r="L101" i="6"/>
  <c r="L104" i="6" s="1"/>
  <c r="M101" i="6"/>
  <c r="M104" i="6" s="1"/>
  <c r="N101" i="6"/>
  <c r="L102" i="6"/>
  <c r="M102" i="6"/>
  <c r="N102" i="6"/>
  <c r="L103" i="6"/>
  <c r="M103" i="6"/>
  <c r="N103" i="6"/>
  <c r="N104" i="6"/>
  <c r="K106" i="6"/>
  <c r="L106" i="6"/>
  <c r="M106" i="6"/>
  <c r="N106" i="6"/>
  <c r="K110" i="6"/>
  <c r="L110" i="6"/>
  <c r="M110" i="6"/>
  <c r="N110" i="6"/>
  <c r="J112" i="6"/>
  <c r="J111" i="6"/>
  <c r="J110" i="6"/>
  <c r="J108" i="6"/>
  <c r="J106" i="6"/>
  <c r="J104" i="6"/>
  <c r="J103" i="6"/>
  <c r="J102" i="6"/>
  <c r="J101" i="6"/>
  <c r="J100" i="6"/>
  <c r="J98" i="6"/>
  <c r="J97" i="6"/>
  <c r="J96" i="6"/>
  <c r="J94" i="6"/>
  <c r="J93" i="6"/>
  <c r="J92" i="6"/>
  <c r="J91" i="6"/>
  <c r="J90" i="6"/>
  <c r="J89" i="6"/>
  <c r="J88" i="6"/>
  <c r="J87" i="6"/>
  <c r="J86" i="6"/>
  <c r="K57" i="6"/>
  <c r="K47" i="6"/>
  <c r="L47" i="6"/>
  <c r="M47" i="6"/>
  <c r="N47" i="6"/>
  <c r="K50" i="6"/>
  <c r="L50" i="6"/>
  <c r="M50" i="6"/>
  <c r="N50" i="6"/>
  <c r="K51" i="6"/>
  <c r="L51" i="6"/>
  <c r="M51" i="6"/>
  <c r="N51" i="6"/>
  <c r="K53" i="6"/>
  <c r="K48" i="6" s="1"/>
  <c r="K49" i="6" s="1"/>
  <c r="K52" i="6" s="1"/>
  <c r="K55" i="6" s="1"/>
  <c r="K59" i="6" s="1"/>
  <c r="K61" i="6" s="1"/>
  <c r="L53" i="6"/>
  <c r="L48" i="6" s="1"/>
  <c r="L49" i="6" s="1"/>
  <c r="L52" i="6" s="1"/>
  <c r="L55" i="6" s="1"/>
  <c r="L59" i="6" s="1"/>
  <c r="L61" i="6" s="1"/>
  <c r="M53" i="6"/>
  <c r="M48" i="6" s="1"/>
  <c r="N53" i="6"/>
  <c r="N48" i="6" s="1"/>
  <c r="K54" i="6"/>
  <c r="L54" i="6"/>
  <c r="M54" i="6"/>
  <c r="N54" i="6"/>
  <c r="K56" i="6"/>
  <c r="L56" i="6"/>
  <c r="M56" i="6"/>
  <c r="N56" i="6"/>
  <c r="L57" i="6"/>
  <c r="M57" i="6"/>
  <c r="N57" i="6"/>
  <c r="K58" i="6"/>
  <c r="L58" i="6"/>
  <c r="M58" i="6"/>
  <c r="N58" i="6"/>
  <c r="K60" i="6"/>
  <c r="L60" i="6"/>
  <c r="M60" i="6"/>
  <c r="N60" i="6"/>
  <c r="J60" i="6"/>
  <c r="J58" i="6"/>
  <c r="J57" i="6"/>
  <c r="J56" i="6"/>
  <c r="J54" i="6"/>
  <c r="J53" i="6"/>
  <c r="J48" i="6" s="1"/>
  <c r="J49" i="6" s="1"/>
  <c r="J51" i="6"/>
  <c r="J50" i="6"/>
  <c r="J47" i="6"/>
  <c r="K4" i="6"/>
  <c r="L4" i="6"/>
  <c r="M4" i="6"/>
  <c r="N4" i="6"/>
  <c r="K5" i="6"/>
  <c r="L5" i="6"/>
  <c r="M5" i="6"/>
  <c r="N5" i="6"/>
  <c r="K6" i="6"/>
  <c r="L6" i="6"/>
  <c r="M6" i="6"/>
  <c r="N6" i="6"/>
  <c r="K7" i="6"/>
  <c r="L7" i="6"/>
  <c r="M7" i="6"/>
  <c r="N7" i="6"/>
  <c r="K8" i="6"/>
  <c r="L8" i="6"/>
  <c r="M8" i="6"/>
  <c r="N8" i="6"/>
  <c r="K9" i="6"/>
  <c r="L9" i="6"/>
  <c r="M9" i="6"/>
  <c r="N9" i="6"/>
  <c r="K10" i="6"/>
  <c r="L10" i="6"/>
  <c r="M10" i="6"/>
  <c r="N10" i="6"/>
  <c r="K11" i="6"/>
  <c r="L11" i="6"/>
  <c r="M11" i="6"/>
  <c r="N11" i="6"/>
  <c r="M13" i="6"/>
  <c r="N13" i="6"/>
  <c r="K14" i="6"/>
  <c r="L14" i="6"/>
  <c r="M14" i="6"/>
  <c r="N14" i="6"/>
  <c r="K15" i="6"/>
  <c r="L15" i="6"/>
  <c r="M15" i="6"/>
  <c r="N15" i="6"/>
  <c r="K16" i="6"/>
  <c r="L16" i="6"/>
  <c r="M16" i="6"/>
  <c r="N16" i="6"/>
  <c r="K17" i="6"/>
  <c r="L17" i="6"/>
  <c r="M17" i="6"/>
  <c r="N17" i="6"/>
  <c r="K18" i="6"/>
  <c r="L18" i="6"/>
  <c r="M18" i="6"/>
  <c r="N18" i="6"/>
  <c r="K19" i="6"/>
  <c r="L19" i="6"/>
  <c r="M19" i="6"/>
  <c r="N19" i="6"/>
  <c r="K20" i="6"/>
  <c r="L20" i="6"/>
  <c r="M20" i="6"/>
  <c r="N20" i="6"/>
  <c r="J15" i="6"/>
  <c r="J20" i="6"/>
  <c r="J19" i="6"/>
  <c r="J18" i="6"/>
  <c r="J17" i="6"/>
  <c r="J16" i="6"/>
  <c r="J14" i="6"/>
  <c r="J11" i="6"/>
  <c r="J10" i="6"/>
  <c r="J9" i="6"/>
  <c r="J8" i="6"/>
  <c r="J7" i="6"/>
  <c r="J6" i="6"/>
  <c r="J5" i="6"/>
  <c r="J4" i="6"/>
  <c r="F126" i="6"/>
  <c r="E126" i="6"/>
  <c r="F103" i="6"/>
  <c r="E103" i="6"/>
  <c r="D44" i="6"/>
  <c r="C44" i="6"/>
  <c r="B44" i="6"/>
  <c r="D23" i="6"/>
  <c r="D26" i="6" s="1"/>
  <c r="D9" i="6"/>
  <c r="B122" i="6"/>
  <c r="B124" i="6"/>
  <c r="C101" i="6"/>
  <c r="B101" i="6"/>
  <c r="C100" i="6"/>
  <c r="B100" i="6"/>
  <c r="C23" i="6"/>
  <c r="K13" i="6" s="1"/>
  <c r="B23" i="6"/>
  <c r="J13" i="6" s="1"/>
  <c r="F44" i="6"/>
  <c r="E44" i="6"/>
  <c r="C121" i="7" l="1"/>
  <c r="K53" i="9"/>
  <c r="D135" i="7"/>
  <c r="F135" i="7"/>
  <c r="F119" i="7"/>
  <c r="D125" i="7"/>
  <c r="D121" i="7"/>
  <c r="F121" i="7"/>
  <c r="F125" i="7"/>
  <c r="C31" i="7"/>
  <c r="E31" i="7"/>
  <c r="D31" i="7"/>
  <c r="C119" i="7"/>
  <c r="B31" i="7"/>
  <c r="F31" i="7"/>
  <c r="F213" i="7"/>
  <c r="G213" i="7" s="1"/>
  <c r="J198" i="7"/>
  <c r="M204" i="7"/>
  <c r="M205" i="7"/>
  <c r="J194" i="7"/>
  <c r="N197" i="7"/>
  <c r="J195" i="7"/>
  <c r="K202" i="7"/>
  <c r="L205" i="7"/>
  <c r="N203" i="7"/>
  <c r="N194" i="7"/>
  <c r="M197" i="7"/>
  <c r="N206" i="7"/>
  <c r="K205" i="7"/>
  <c r="M203" i="7"/>
  <c r="F214" i="7"/>
  <c r="G214" i="7" s="1"/>
  <c r="L202" i="7"/>
  <c r="L197" i="7"/>
  <c r="M206" i="7"/>
  <c r="L203" i="7"/>
  <c r="L194" i="7"/>
  <c r="K197" i="7"/>
  <c r="L206" i="7"/>
  <c r="N204" i="7"/>
  <c r="E133" i="7"/>
  <c r="K194" i="7"/>
  <c r="M196" i="7"/>
  <c r="J202" i="7"/>
  <c r="K206" i="7"/>
  <c r="J203" i="7"/>
  <c r="D133" i="7"/>
  <c r="N198" i="7"/>
  <c r="L196" i="7"/>
  <c r="N202" i="7"/>
  <c r="J206" i="7"/>
  <c r="L204" i="7"/>
  <c r="J196" i="7"/>
  <c r="J204" i="7"/>
  <c r="M194" i="7"/>
  <c r="J205" i="7"/>
  <c r="F215" i="7"/>
  <c r="G215" i="7" s="1"/>
  <c r="K203" i="7"/>
  <c r="K198" i="7"/>
  <c r="K196" i="7"/>
  <c r="M202" i="7"/>
  <c r="N205" i="7"/>
  <c r="K204" i="7"/>
  <c r="D217" i="7"/>
  <c r="D218" i="7" s="1"/>
  <c r="E121" i="7"/>
  <c r="C132" i="7"/>
  <c r="L198" i="7"/>
  <c r="N196" i="7"/>
  <c r="K195" i="7"/>
  <c r="E119" i="7"/>
  <c r="N195" i="7"/>
  <c r="C133" i="7"/>
  <c r="M195" i="7"/>
  <c r="F133" i="7"/>
  <c r="D132" i="7"/>
  <c r="B133" i="7"/>
  <c r="M198" i="7"/>
  <c r="J197" i="7"/>
  <c r="B132" i="7"/>
  <c r="F132" i="7"/>
  <c r="E132" i="7"/>
  <c r="F130" i="7"/>
  <c r="F126" i="7"/>
  <c r="B130" i="7"/>
  <c r="E130" i="7"/>
  <c r="E126" i="7"/>
  <c r="D130" i="7"/>
  <c r="C130" i="7"/>
  <c r="D126" i="7"/>
  <c r="B126" i="7"/>
  <c r="C126" i="7"/>
  <c r="H101" i="7"/>
  <c r="H50" i="7" s="1"/>
  <c r="H113" i="7"/>
  <c r="H22" i="7" s="1"/>
  <c r="H81" i="7" s="1"/>
  <c r="H83" i="7" s="1"/>
  <c r="G101" i="7"/>
  <c r="G50" i="7" s="1"/>
  <c r="B152" i="7"/>
  <c r="B145" i="7" s="1"/>
  <c r="C129" i="7"/>
  <c r="C127" i="7"/>
  <c r="C120" i="7"/>
  <c r="D119" i="7"/>
  <c r="F131" i="7"/>
  <c r="F128" i="7"/>
  <c r="G95" i="7"/>
  <c r="B129" i="7"/>
  <c r="D117" i="7"/>
  <c r="F127" i="7"/>
  <c r="D129" i="7"/>
  <c r="D127" i="7"/>
  <c r="D122" i="7"/>
  <c r="D120" i="7"/>
  <c r="D131" i="7"/>
  <c r="B121" i="7"/>
  <c r="E131" i="7"/>
  <c r="E128" i="7"/>
  <c r="E122" i="7"/>
  <c r="E118" i="7"/>
  <c r="B119" i="7"/>
  <c r="B120" i="7"/>
  <c r="C131" i="7"/>
  <c r="B135" i="7"/>
  <c r="C122" i="7"/>
  <c r="B127" i="7"/>
  <c r="B128" i="7"/>
  <c r="C117" i="7"/>
  <c r="B118" i="7"/>
  <c r="B125" i="7"/>
  <c r="B131" i="7"/>
  <c r="D128" i="7"/>
  <c r="C128" i="7"/>
  <c r="F129" i="7"/>
  <c r="F117" i="7"/>
  <c r="E129" i="7"/>
  <c r="E125" i="7"/>
  <c r="E117" i="7"/>
  <c r="F122" i="7"/>
  <c r="D118" i="7"/>
  <c r="F118" i="7"/>
  <c r="E127" i="7"/>
  <c r="C118" i="7"/>
  <c r="F120" i="7"/>
  <c r="E120" i="7"/>
  <c r="M108" i="6"/>
  <c r="M111" i="6" s="1"/>
  <c r="M112" i="6" s="1"/>
  <c r="K104" i="6"/>
  <c r="K108" i="6" s="1"/>
  <c r="K111" i="6" s="1"/>
  <c r="K112" i="6" s="1"/>
  <c r="L108" i="6"/>
  <c r="L111" i="6" s="1"/>
  <c r="N108" i="6"/>
  <c r="N111" i="6" s="1"/>
  <c r="N112" i="6" s="1"/>
  <c r="L112" i="6"/>
  <c r="M21" i="6"/>
  <c r="K21" i="6"/>
  <c r="N49" i="6"/>
  <c r="N52" i="6" s="1"/>
  <c r="N55" i="6" s="1"/>
  <c r="N59" i="6" s="1"/>
  <c r="N61" i="6" s="1"/>
  <c r="M49" i="6"/>
  <c r="M52" i="6" s="1"/>
  <c r="M55" i="6" s="1"/>
  <c r="M59" i="6" s="1"/>
  <c r="M61" i="6" s="1"/>
  <c r="J52" i="6"/>
  <c r="J55" i="6" s="1"/>
  <c r="J59" i="6" s="1"/>
  <c r="J61" i="6" s="1"/>
  <c r="N21" i="6"/>
  <c r="M12" i="6"/>
  <c r="M22" i="6" s="1"/>
  <c r="L12" i="6"/>
  <c r="L13" i="6"/>
  <c r="L21" i="6" s="1"/>
  <c r="K12" i="6"/>
  <c r="K22" i="6" s="1"/>
  <c r="J21" i="6"/>
  <c r="N12" i="6"/>
  <c r="J12" i="6"/>
  <c r="J22" i="6" s="1"/>
  <c r="K199" i="9" l="1"/>
  <c r="K200" i="9" s="1"/>
  <c r="K208" i="9" s="1"/>
  <c r="K210" i="9" s="1"/>
  <c r="K212" i="9" s="1"/>
  <c r="B214" i="9" s="1"/>
  <c r="B219" i="9" s="1"/>
  <c r="B221" i="9" s="1"/>
  <c r="D251" i="9" s="1"/>
  <c r="K131" i="9"/>
  <c r="K54" i="9"/>
  <c r="G108" i="7"/>
  <c r="G110" i="7"/>
  <c r="G20" i="7" s="1"/>
  <c r="B146" i="7"/>
  <c r="B147" i="7" s="1"/>
  <c r="G97" i="7"/>
  <c r="G64" i="7" s="1"/>
  <c r="G105" i="7"/>
  <c r="G10" i="7" s="1"/>
  <c r="G66" i="7" s="1"/>
  <c r="G166" i="7" s="1"/>
  <c r="G104" i="7"/>
  <c r="G9" i="7" s="1"/>
  <c r="G75" i="7" s="1"/>
  <c r="G103" i="7"/>
  <c r="G7" i="7" s="1"/>
  <c r="G91" i="7" s="1"/>
  <c r="G96" i="7"/>
  <c r="I113" i="7"/>
  <c r="I22" i="7" s="1"/>
  <c r="I81" i="7" s="1"/>
  <c r="I83" i="7" s="1"/>
  <c r="I101" i="7"/>
  <c r="I50" i="7" s="1"/>
  <c r="G114" i="7"/>
  <c r="G40" i="7"/>
  <c r="G99" i="7"/>
  <c r="G44" i="7" s="1"/>
  <c r="H95" i="7"/>
  <c r="G98" i="7"/>
  <c r="G43" i="7" s="1"/>
  <c r="G107" i="7"/>
  <c r="G12" i="7" s="1"/>
  <c r="G68" i="7" s="1"/>
  <c r="G168" i="7" s="1"/>
  <c r="N22" i="6"/>
  <c r="L22" i="6"/>
  <c r="B229" i="9" l="1"/>
  <c r="D250" i="9"/>
  <c r="K63" i="9"/>
  <c r="K71" i="9" s="1"/>
  <c r="K57" i="9"/>
  <c r="K59" i="9" s="1"/>
  <c r="K28" i="9" s="1"/>
  <c r="K30" i="9" s="1"/>
  <c r="B237" i="9"/>
  <c r="B223" i="9"/>
  <c r="B224" i="9" s="1"/>
  <c r="G36" i="7"/>
  <c r="G46" i="7"/>
  <c r="G161" i="7" s="1"/>
  <c r="G165" i="7" s="1"/>
  <c r="I175" i="7"/>
  <c r="J175" i="7"/>
  <c r="K175" i="7"/>
  <c r="G175" i="7"/>
  <c r="H175" i="7"/>
  <c r="G41" i="7"/>
  <c r="G42" i="7" s="1"/>
  <c r="G111" i="7"/>
  <c r="G23" i="7" s="1"/>
  <c r="G70" i="7" s="1"/>
  <c r="G170" i="7" s="1"/>
  <c r="G35" i="7"/>
  <c r="G74" i="7"/>
  <c r="G171" i="7" s="1"/>
  <c r="H108" i="7"/>
  <c r="H110" i="7"/>
  <c r="H20" i="7" s="1"/>
  <c r="G106" i="7"/>
  <c r="G11" i="7" s="1"/>
  <c r="G67" i="7" s="1"/>
  <c r="G167" i="7" s="1"/>
  <c r="G109" i="7"/>
  <c r="G19" i="7" s="1"/>
  <c r="H97" i="7"/>
  <c r="H64" i="7" s="1"/>
  <c r="H104" i="7"/>
  <c r="H9" i="7" s="1"/>
  <c r="H75" i="7" s="1"/>
  <c r="I95" i="7"/>
  <c r="I110" i="7" s="1"/>
  <c r="I20" i="7" s="1"/>
  <c r="H114" i="7"/>
  <c r="H103" i="7"/>
  <c r="H7" i="7" s="1"/>
  <c r="H91" i="7" s="1"/>
  <c r="H105" i="7"/>
  <c r="H10" i="7" s="1"/>
  <c r="H66" i="7" s="1"/>
  <c r="H166" i="7" s="1"/>
  <c r="H40" i="7"/>
  <c r="H107" i="7"/>
  <c r="H12" i="7" s="1"/>
  <c r="H68" i="7" s="1"/>
  <c r="H168" i="7" s="1"/>
  <c r="H98" i="7"/>
  <c r="H43" i="7" s="1"/>
  <c r="H96" i="7"/>
  <c r="H99" i="7"/>
  <c r="H44" i="7" s="1"/>
  <c r="J113" i="7"/>
  <c r="J22" i="7" s="1"/>
  <c r="J81" i="7" s="1"/>
  <c r="J83" i="7" s="1"/>
  <c r="J101" i="7"/>
  <c r="J50" i="7" s="1"/>
  <c r="K86" i="9" l="1"/>
  <c r="K89" i="9" s="1"/>
  <c r="K90" i="9" s="1"/>
  <c r="K92" i="9" s="1"/>
  <c r="K7" i="8"/>
  <c r="K21" i="9"/>
  <c r="K24" i="9" s="1"/>
  <c r="K31" i="9" s="1"/>
  <c r="K8" i="9"/>
  <c r="K16" i="9" s="1"/>
  <c r="G76" i="7"/>
  <c r="G37" i="7"/>
  <c r="G13" i="7" s="1"/>
  <c r="G69" i="7"/>
  <c r="G169" i="7" s="1"/>
  <c r="G45" i="7"/>
  <c r="G160" i="7" s="1"/>
  <c r="G162" i="7" s="1"/>
  <c r="H111" i="7"/>
  <c r="H23" i="7" s="1"/>
  <c r="H70" i="7" s="1"/>
  <c r="H170" i="7" s="1"/>
  <c r="H35" i="7"/>
  <c r="H74" i="7"/>
  <c r="I104" i="7"/>
  <c r="I9" i="7" s="1"/>
  <c r="I75" i="7" s="1"/>
  <c r="I108" i="7"/>
  <c r="H46" i="7"/>
  <c r="H161" i="7" s="1"/>
  <c r="H165" i="7" s="1"/>
  <c r="H36" i="7"/>
  <c r="I98" i="7"/>
  <c r="I43" i="7" s="1"/>
  <c r="I105" i="7"/>
  <c r="I10" i="7" s="1"/>
  <c r="I66" i="7" s="1"/>
  <c r="I166" i="7" s="1"/>
  <c r="I114" i="7"/>
  <c r="I103" i="7"/>
  <c r="I7" i="7" s="1"/>
  <c r="I91" i="7" s="1"/>
  <c r="I107" i="7"/>
  <c r="I12" i="7" s="1"/>
  <c r="I68" i="7" s="1"/>
  <c r="I168" i="7" s="1"/>
  <c r="I40" i="7"/>
  <c r="I99" i="7"/>
  <c r="I44" i="7" s="1"/>
  <c r="J95" i="7"/>
  <c r="J110" i="7" s="1"/>
  <c r="J20" i="7" s="1"/>
  <c r="I97" i="7"/>
  <c r="I64" i="7" s="1"/>
  <c r="I96" i="7"/>
  <c r="K113" i="7"/>
  <c r="K22" i="7" s="1"/>
  <c r="K81" i="7" s="1"/>
  <c r="K83" i="7" s="1"/>
  <c r="K101" i="7"/>
  <c r="K50" i="7" s="1"/>
  <c r="H41" i="7"/>
  <c r="H42" i="7" s="1"/>
  <c r="H109" i="7"/>
  <c r="H19" i="7" s="1"/>
  <c r="H106" i="7"/>
  <c r="H11" i="7" s="1"/>
  <c r="H67" i="7" s="1"/>
  <c r="H167" i="7" s="1"/>
  <c r="K32" i="9" l="1"/>
  <c r="L32" i="9" s="1"/>
  <c r="A3" i="9" s="1"/>
  <c r="H34" i="7"/>
  <c r="G48" i="7"/>
  <c r="G52" i="7" s="1"/>
  <c r="G53" i="7" s="1"/>
  <c r="G102" i="7" s="1"/>
  <c r="H69" i="7"/>
  <c r="H169" i="7" s="1"/>
  <c r="I111" i="7"/>
  <c r="I23" i="7" s="1"/>
  <c r="I70" i="7" s="1"/>
  <c r="I170" i="7" s="1"/>
  <c r="H45" i="7"/>
  <c r="H160" i="7" s="1"/>
  <c r="H162" i="7" s="1"/>
  <c r="H76" i="7"/>
  <c r="H171" i="7"/>
  <c r="I35" i="7"/>
  <c r="I74" i="7"/>
  <c r="J104" i="7"/>
  <c r="J9" i="7" s="1"/>
  <c r="J75" i="7" s="1"/>
  <c r="J108" i="7"/>
  <c r="H37" i="7"/>
  <c r="I46" i="7"/>
  <c r="I161" i="7" s="1"/>
  <c r="I165" i="7" s="1"/>
  <c r="I36" i="7"/>
  <c r="J107" i="7"/>
  <c r="J12" i="7" s="1"/>
  <c r="J68" i="7" s="1"/>
  <c r="J168" i="7" s="1"/>
  <c r="J114" i="7"/>
  <c r="J103" i="7"/>
  <c r="J7" i="7" s="1"/>
  <c r="J91" i="7" s="1"/>
  <c r="J105" i="7"/>
  <c r="J10" i="7" s="1"/>
  <c r="J66" i="7" s="1"/>
  <c r="J166" i="7" s="1"/>
  <c r="J40" i="7"/>
  <c r="J97" i="7"/>
  <c r="J64" i="7" s="1"/>
  <c r="J99" i="7"/>
  <c r="J44" i="7" s="1"/>
  <c r="K95" i="7"/>
  <c r="K110" i="7" s="1"/>
  <c r="K20" i="7" s="1"/>
  <c r="J98" i="7"/>
  <c r="J43" i="7" s="1"/>
  <c r="J96" i="7"/>
  <c r="I41" i="7"/>
  <c r="I42" i="7" s="1"/>
  <c r="I109" i="7"/>
  <c r="I19" i="7" s="1"/>
  <c r="I106" i="7"/>
  <c r="I11" i="7" s="1"/>
  <c r="I67" i="7" s="1"/>
  <c r="I167" i="7" s="1"/>
  <c r="G163" i="7" l="1"/>
  <c r="G164" i="7" s="1"/>
  <c r="G172" i="7" s="1"/>
  <c r="G174" i="7" s="1"/>
  <c r="G176" i="7" s="1"/>
  <c r="G54" i="7"/>
  <c r="G57" i="7" s="1"/>
  <c r="G59" i="7" s="1"/>
  <c r="I69" i="7"/>
  <c r="I169" i="7" s="1"/>
  <c r="H48" i="7"/>
  <c r="I45" i="7"/>
  <c r="I160" i="7" s="1"/>
  <c r="I162" i="7" s="1"/>
  <c r="J111" i="7"/>
  <c r="J23" i="7" s="1"/>
  <c r="J70" i="7" s="1"/>
  <c r="J170" i="7" s="1"/>
  <c r="I76" i="7"/>
  <c r="I171" i="7"/>
  <c r="I34" i="7"/>
  <c r="I37" i="7" s="1"/>
  <c r="H13" i="7"/>
  <c r="J35" i="7"/>
  <c r="J74" i="7"/>
  <c r="K104" i="7"/>
  <c r="K9" i="7" s="1"/>
  <c r="K75" i="7" s="1"/>
  <c r="K108" i="7"/>
  <c r="J46" i="7"/>
  <c r="J161" i="7" s="1"/>
  <c r="J165" i="7" s="1"/>
  <c r="J36" i="7"/>
  <c r="K40" i="7"/>
  <c r="K114" i="7"/>
  <c r="K103" i="7"/>
  <c r="K7" i="7" s="1"/>
  <c r="K91" i="7" s="1"/>
  <c r="K105" i="7"/>
  <c r="K10" i="7" s="1"/>
  <c r="K66" i="7" s="1"/>
  <c r="K166" i="7" s="1"/>
  <c r="K107" i="7"/>
  <c r="K12" i="7" s="1"/>
  <c r="K68" i="7" s="1"/>
  <c r="K168" i="7" s="1"/>
  <c r="K99" i="7"/>
  <c r="K44" i="7" s="1"/>
  <c r="K96" i="7"/>
  <c r="K97" i="7"/>
  <c r="K64" i="7" s="1"/>
  <c r="K98" i="7"/>
  <c r="K43" i="7" s="1"/>
  <c r="J41" i="7"/>
  <c r="J42" i="7" s="1"/>
  <c r="J109" i="7"/>
  <c r="J19" i="7" s="1"/>
  <c r="J106" i="7"/>
  <c r="J11" i="7" s="1"/>
  <c r="J67" i="7" s="1"/>
  <c r="J167" i="7" s="1"/>
  <c r="G63" i="7" l="1"/>
  <c r="G71" i="7" s="1"/>
  <c r="G86" i="7" s="1"/>
  <c r="G89" i="7" s="1"/>
  <c r="G90" i="7" s="1"/>
  <c r="G92" i="7" s="1"/>
  <c r="I48" i="7"/>
  <c r="J69" i="7"/>
  <c r="J169" i="7" s="1"/>
  <c r="J45" i="7"/>
  <c r="J160" i="7" s="1"/>
  <c r="J162" i="7" s="1"/>
  <c r="J76" i="7"/>
  <c r="J171" i="7"/>
  <c r="K111" i="7"/>
  <c r="K23" i="7" s="1"/>
  <c r="K70" i="7" s="1"/>
  <c r="K170" i="7" s="1"/>
  <c r="J34" i="7"/>
  <c r="J37" i="7" s="1"/>
  <c r="I13" i="7"/>
  <c r="H56" i="7"/>
  <c r="G28" i="7"/>
  <c r="G30" i="7" s="1"/>
  <c r="K35" i="7"/>
  <c r="K74" i="7"/>
  <c r="K171" i="7" s="1"/>
  <c r="K46" i="7"/>
  <c r="K161" i="7" s="1"/>
  <c r="K165" i="7" s="1"/>
  <c r="K36" i="7"/>
  <c r="K41" i="7"/>
  <c r="K42" i="7" s="1"/>
  <c r="K109" i="7"/>
  <c r="K19" i="7" s="1"/>
  <c r="K106" i="7"/>
  <c r="K11" i="7" s="1"/>
  <c r="K67" i="7" s="1"/>
  <c r="K167" i="7" s="1"/>
  <c r="H88" i="7" l="1"/>
  <c r="K69" i="7"/>
  <c r="K169" i="7" s="1"/>
  <c r="J48" i="7"/>
  <c r="K76" i="7"/>
  <c r="K45" i="7"/>
  <c r="K48" i="7" s="1"/>
  <c r="G8" i="7"/>
  <c r="G21" i="7"/>
  <c r="K34" i="7"/>
  <c r="K37" i="7" s="1"/>
  <c r="K13" i="7" s="1"/>
  <c r="J13" i="7"/>
  <c r="K160" i="7" l="1"/>
  <c r="K162" i="7" s="1"/>
  <c r="G24" i="7"/>
  <c r="G31" i="7" s="1"/>
  <c r="H100" i="7"/>
  <c r="H49" i="7" s="1"/>
  <c r="H52" i="7" s="1"/>
  <c r="G16" i="7"/>
  <c r="K173" i="7" l="1"/>
  <c r="G32" i="7"/>
  <c r="H53" i="7"/>
  <c r="H54" i="7" s="1"/>
  <c r="H102" i="7" l="1"/>
  <c r="H163" i="7"/>
  <c r="H164" i="7" s="1"/>
  <c r="H172" i="7" s="1"/>
  <c r="H174" i="7" s="1"/>
  <c r="H176" i="7" s="1"/>
  <c r="H57" i="7"/>
  <c r="H59" i="7" s="1"/>
  <c r="H63" i="7"/>
  <c r="H71" i="7" s="1"/>
  <c r="H86" i="7" s="1"/>
  <c r="H89" i="7" s="1"/>
  <c r="H90" i="7" s="1"/>
  <c r="I88" i="7" l="1"/>
  <c r="H92" i="7"/>
  <c r="H28" i="7"/>
  <c r="H30" i="7" s="1"/>
  <c r="I56" i="7"/>
  <c r="H21" i="7" l="1"/>
  <c r="H8" i="7"/>
  <c r="H24" i="7" l="1"/>
  <c r="H31" i="7" s="1"/>
  <c r="H16" i="7"/>
  <c r="I100" i="7"/>
  <c r="I49" i="7" s="1"/>
  <c r="I52" i="7" s="1"/>
  <c r="H32" i="7" l="1"/>
  <c r="I53" i="7"/>
  <c r="I54" i="7" s="1"/>
  <c r="I102" i="7" l="1"/>
  <c r="I163" i="7"/>
  <c r="I164" i="7" s="1"/>
  <c r="I172" i="7" s="1"/>
  <c r="I174" i="7" s="1"/>
  <c r="I176" i="7" s="1"/>
  <c r="I57" i="7"/>
  <c r="I59" i="7" s="1"/>
  <c r="I63" i="7"/>
  <c r="I71" i="7" s="1"/>
  <c r="I86" i="7" s="1"/>
  <c r="I89" i="7" s="1"/>
  <c r="I90" i="7" s="1"/>
  <c r="I92" i="7" l="1"/>
  <c r="J88" i="7"/>
  <c r="I28" i="7"/>
  <c r="I30" i="7" s="1"/>
  <c r="J56" i="7"/>
  <c r="I8" i="7" l="1"/>
  <c r="I21" i="7"/>
  <c r="I24" i="7" l="1"/>
  <c r="I31" i="7" s="1"/>
  <c r="I16" i="7"/>
  <c r="J100" i="7"/>
  <c r="J49" i="7" s="1"/>
  <c r="J52" i="7" s="1"/>
  <c r="I32" i="7" l="1"/>
  <c r="J53" i="7"/>
  <c r="J54" i="7" s="1"/>
  <c r="J102" i="7" l="1"/>
  <c r="J163" i="7"/>
  <c r="J164" i="7" s="1"/>
  <c r="J172" i="7" s="1"/>
  <c r="J174" i="7" s="1"/>
  <c r="J176" i="7" s="1"/>
  <c r="J57" i="7"/>
  <c r="J59" i="7" s="1"/>
  <c r="J63" i="7"/>
  <c r="J71" i="7" s="1"/>
  <c r="J86" i="7" s="1"/>
  <c r="J89" i="7" s="1"/>
  <c r="J90" i="7" s="1"/>
  <c r="J92" i="7" l="1"/>
  <c r="K88" i="7"/>
  <c r="K56" i="7"/>
  <c r="J28" i="7"/>
  <c r="J30" i="7" s="1"/>
  <c r="J8" i="7" l="1"/>
  <c r="J21" i="7"/>
  <c r="J24" i="7" l="1"/>
  <c r="J31" i="7" s="1"/>
  <c r="J16" i="7"/>
  <c r="K100" i="7"/>
  <c r="K49" i="7" s="1"/>
  <c r="K52" i="7" s="1"/>
  <c r="J32" i="7" l="1"/>
  <c r="K53" i="7"/>
  <c r="K54" i="7" s="1"/>
  <c r="K102" i="7" l="1"/>
  <c r="K163" i="7"/>
  <c r="K164" i="7" s="1"/>
  <c r="K172" i="7" s="1"/>
  <c r="K174" i="7" s="1"/>
  <c r="K176" i="7" s="1"/>
  <c r="B178" i="7" s="1"/>
  <c r="B183" i="7" s="1"/>
  <c r="B185" i="7" s="1"/>
  <c r="K63" i="7"/>
  <c r="K71" i="7" s="1"/>
  <c r="K86" i="7" s="1"/>
  <c r="K89" i="7" s="1"/>
  <c r="K90" i="7" s="1"/>
  <c r="K92" i="7" s="1"/>
  <c r="K57" i="7"/>
  <c r="K59" i="7" s="1"/>
  <c r="K28" i="7" s="1"/>
  <c r="K30" i="7" s="1"/>
  <c r="B201" i="7" l="1"/>
  <c r="B193" i="7"/>
  <c r="B187" i="7"/>
  <c r="B188" i="7" s="1"/>
  <c r="K8" i="7"/>
  <c r="K16" i="7" s="1"/>
  <c r="K21" i="7"/>
  <c r="K24" i="7" l="1"/>
  <c r="D214" i="7"/>
  <c r="K31" i="7" l="1"/>
  <c r="K32" i="7" s="1"/>
  <c r="L32" i="7" s="1"/>
  <c r="A3" i="7" s="1"/>
  <c r="D252" i="9" l="1"/>
  <c r="D253" i="9" s="1"/>
  <c r="D254" i="9" s="1"/>
  <c r="D215" i="7" l="1"/>
  <c r="D21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 Cheng</author>
  </authors>
  <commentList>
    <comment ref="A108" authorId="0" shapeId="0" xr:uid="{1D443DAE-3234-1D46-B851-3D758458989B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TSLA Investor Relations Website</t>
        </r>
      </text>
    </comment>
    <comment ref="G109" authorId="0" shapeId="0" xr:uid="{C86095C2-47D4-7C4D-8863-F044ABD1B136}">
      <text>
        <r>
          <rPr>
            <b/>
            <sz val="10"/>
            <color rgb="FF000000"/>
            <rFont val="Tahoma"/>
            <family val="2"/>
          </rPr>
          <t xml:space="preserve">Joann Cheng: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2025-2027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New afforable models launching H1 2025
</t>
        </r>
        <r>
          <rPr>
            <sz val="10"/>
            <color rgb="FF000000"/>
            <rFont val="Tahoma"/>
            <family val="2"/>
          </rPr>
          <t xml:space="preserve">2. Cybertruck production ramping
</t>
        </r>
        <r>
          <rPr>
            <sz val="10"/>
            <color rgb="FF000000"/>
            <rFont val="Tahoma"/>
            <family val="2"/>
          </rPr>
          <t xml:space="preserve">3. Strong demand in China, Europe, NA market
</t>
        </r>
        <r>
          <rPr>
            <sz val="10"/>
            <color rgb="FF000000"/>
            <rFont val="Tahoma"/>
            <family val="2"/>
          </rPr>
          <t xml:space="preserve">4. Well below 3M production capacity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2028-2029
</t>
        </r>
        <r>
          <rPr>
            <sz val="10"/>
            <color rgb="FF000000"/>
            <rFont val="Tahoma"/>
            <family val="2"/>
          </rPr>
          <t xml:space="preserve">1. Market matures, slower growth
</t>
        </r>
        <r>
          <rPr>
            <sz val="10"/>
            <color rgb="FF000000"/>
            <rFont val="Tahoma"/>
            <family val="2"/>
          </rPr>
          <t xml:space="preserve">2. Reaches 85% capacity utilization
</t>
        </r>
        <r>
          <rPr>
            <sz val="10"/>
            <color rgb="FF000000"/>
            <rFont val="Tahoma"/>
            <family val="2"/>
          </rPr>
          <t>3. Increase EV competition</t>
        </r>
      </text>
    </comment>
    <comment ref="E111" authorId="0" shapeId="0" xr:uid="{22CCF35F-8516-9840-B7D2-C70969BFC76B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Significant drop due to PRICE CUT (to stimulate demand)
</t>
        </r>
      </text>
    </comment>
    <comment ref="G111" authorId="0" shapeId="0" xr:uid="{14557A24-5F78-814C-8163-3ACC0F8247BC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2025
</t>
        </r>
        <r>
          <rPr>
            <sz val="10"/>
            <color rgb="FF000000"/>
            <rFont val="Tahoma"/>
            <family val="2"/>
          </rPr>
          <t xml:space="preserve">1. Affordable models launch (result in biggest impact year)
</t>
        </r>
        <r>
          <rPr>
            <sz val="10"/>
            <color rgb="FF000000"/>
            <rFont val="Tahoma"/>
            <family val="2"/>
          </rPr>
          <t xml:space="preserve">2. Product mix shifts to lower-priced vehicles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2026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Continued mix shift impact
</t>
        </r>
        <r>
          <rPr>
            <sz val="10"/>
            <color rgb="FF000000"/>
            <rFont val="Tahoma"/>
            <family val="2"/>
          </rPr>
          <t xml:space="preserve">2. Cybertruck ramp partially offsets (higher ASP)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2027-2029
</t>
        </r>
        <r>
          <rPr>
            <sz val="10"/>
            <color rgb="FF000000"/>
            <rFont val="Tahoma"/>
            <family val="2"/>
          </rPr>
          <t xml:space="preserve">1. Pricing stabilizes as mix normalizes
</t>
        </r>
        <r>
          <rPr>
            <sz val="10"/>
            <color rgb="FF000000"/>
            <rFont val="Tahoma"/>
            <family val="2"/>
          </rPr>
          <t xml:space="preserve">2. Focus shifts to volume over price cuts
</t>
        </r>
        <r>
          <rPr>
            <sz val="10"/>
            <color rgb="FF000000"/>
            <rFont val="Tahoma"/>
            <family val="2"/>
          </rPr>
          <t>3. Minor competitive pressure changes</t>
        </r>
      </text>
    </comment>
    <comment ref="F112" authorId="0" shapeId="0" xr:uid="{567DCA2B-41D2-E74B-A540-719121BABD8C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TSLA Investor Relation Report states: "2024 Q4 &lt; $35000 record low"
</t>
        </r>
      </text>
    </comment>
    <comment ref="G113" authorId="0" shapeId="0" xr:uid="{128824DF-E033-7C4F-B2ED-7E0BDFE278C0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2025</t>
        </r>
        <r>
          <rPr>
            <sz val="10"/>
            <color rgb="FF000000"/>
            <rFont val="Tahoma"/>
            <family val="2"/>
          </rPr>
          <t xml:space="preserve">: Manufacturing efficiency gains, raw material cost reductions, scale benefits from higher volume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2026-2027</t>
        </r>
        <r>
          <rPr>
            <sz val="10"/>
            <color rgb="FF000000"/>
            <rFont val="Tahoma"/>
            <family val="2"/>
          </rPr>
          <t xml:space="preserve">: 4680 battery ramp (lower cost), Giga casting benefits, continued process improvements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2028-2029</t>
        </r>
        <r>
          <rPr>
            <sz val="10"/>
            <color rgb="FF000000"/>
            <rFont val="Tahoma"/>
            <family val="2"/>
          </rPr>
          <t>: Diminishing returns on cost reduction, most efficiency gains already captured, modest ongoing optimization</t>
        </r>
      </text>
    </comment>
    <comment ref="A115" authorId="0" shapeId="0" xr:uid="{FF444A09-DF31-6944-9E1B-9F6E6467A39E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Q4 2024 Investor Relation Report: "We expect energy storage deployments to grow at least 50% YOY in 2025"
</t>
        </r>
        <r>
          <rPr>
            <sz val="10"/>
            <color rgb="FF000000"/>
            <rFont val="Tahoma"/>
            <family val="2"/>
          </rPr>
          <t xml:space="preserve">Key Drivers:
</t>
        </r>
        <r>
          <rPr>
            <sz val="10"/>
            <color rgb="FF000000"/>
            <rFont val="Tahoma"/>
            <family val="2"/>
          </rPr>
          <t xml:space="preserve">- Shanghai Megafactory completed, ramping in Q1 2025
</t>
        </r>
        <r>
          <rPr>
            <sz val="10"/>
            <color rgb="FF000000"/>
            <rFont val="Tahoma"/>
            <family val="2"/>
          </rPr>
          <t xml:space="preserve">- Powerwall 3 production ramping
</t>
        </r>
        <r>
          <rPr>
            <sz val="10"/>
            <color rgb="FF000000"/>
            <rFont val="Tahoma"/>
            <family val="2"/>
          </rPr>
          <t xml:space="preserve">- Both products are supply constrained (demand exceeds supply)
</t>
        </r>
        <r>
          <rPr>
            <sz val="10"/>
            <color rgb="FF000000"/>
            <rFont val="Tahoma"/>
            <family val="2"/>
          </rPr>
          <t xml:space="preserve">- Record deployments: 31.4 GWh in 2024 (up114% from prior year)
</t>
        </r>
        <r>
          <rPr>
            <sz val="10"/>
            <color rgb="FF000000"/>
            <rFont val="Tahoma"/>
            <family val="2"/>
          </rPr>
          <t>- Energy business hitting record gross profits</t>
        </r>
      </text>
    </comment>
    <comment ref="G120" authorId="0" shapeId="0" xr:uid="{10D2AB09-4F7D-E042-AB73-CED607DF012C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Growing with vehicle fleet expansion
</t>
        </r>
        <r>
          <rPr>
            <sz val="10"/>
            <color rgb="FF000000"/>
            <rFont val="Tahoma"/>
            <family val="2"/>
          </rPr>
          <t xml:space="preserve">2. Supercharger network adding 10k+ stalls annually
</t>
        </r>
        <r>
          <rPr>
            <sz val="10"/>
            <color rgb="FF000000"/>
            <rFont val="Tahoma"/>
            <family val="2"/>
          </rPr>
          <t>3. Service capacity expanding with deliveries</t>
        </r>
      </text>
    </comment>
    <comment ref="G121" authorId="0" shapeId="0" xr:uid="{285B1B1E-67B1-634A-8914-C3D890FE38B4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Historical trend shows gradual improvement
</t>
        </r>
        <r>
          <rPr>
            <sz val="10"/>
            <color rgb="FF000000"/>
            <rFont val="Tahoma"/>
            <family val="2"/>
          </rPr>
          <t xml:space="preserve">2. Scale benefits as service network expands
</t>
        </r>
        <r>
          <rPr>
            <sz val="10"/>
            <color rgb="FF000000"/>
            <rFont val="Tahoma"/>
            <family val="2"/>
          </rPr>
          <t xml:space="preserve">3. Supercharger utilization improving
</t>
        </r>
        <r>
          <rPr>
            <sz val="10"/>
            <color rgb="FF000000"/>
            <rFont val="Tahoma"/>
            <family val="2"/>
          </rPr>
          <t xml:space="preserve">4. More efficient service operations
</t>
        </r>
        <r>
          <rPr>
            <sz val="10"/>
            <color rgb="FF000000"/>
            <rFont val="Tahoma"/>
            <family val="2"/>
          </rPr>
          <t>5. But remains a low-margin support business</t>
        </r>
      </text>
    </comment>
    <comment ref="A148" authorId="0" shapeId="0" xr:uid="{A9EA7E74-EAD4-C34A-85A4-1F26F6973257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 FORECAST: 10% 8% 7% 5% 5%</t>
        </r>
      </text>
    </comment>
    <comment ref="G148" authorId="0" shapeId="0" xr:uid="{A1E1AB97-6543-E14C-B8B8-F5A1202110A8}">
      <text>
        <r>
          <rPr>
            <b/>
            <sz val="10"/>
            <color rgb="FF000000"/>
            <rFont val="Tahoma"/>
            <family val="2"/>
          </rPr>
          <t xml:space="preserve">Joann Cheng: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2025-2027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New afforable models launching H1 2025
</t>
        </r>
        <r>
          <rPr>
            <sz val="10"/>
            <color rgb="FF000000"/>
            <rFont val="Tahoma"/>
            <family val="2"/>
          </rPr>
          <t xml:space="preserve">2. Cybertruck production ramping
</t>
        </r>
        <r>
          <rPr>
            <sz val="10"/>
            <color rgb="FF000000"/>
            <rFont val="Tahoma"/>
            <family val="2"/>
          </rPr>
          <t xml:space="preserve">3. Strong demand in China, Europe, NA market
</t>
        </r>
        <r>
          <rPr>
            <sz val="10"/>
            <color rgb="FF000000"/>
            <rFont val="Tahoma"/>
            <family val="2"/>
          </rPr>
          <t xml:space="preserve">4. Well below 3M production capacity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2028-2029
</t>
        </r>
        <r>
          <rPr>
            <sz val="10"/>
            <color rgb="FF000000"/>
            <rFont val="Tahoma"/>
            <family val="2"/>
          </rPr>
          <t xml:space="preserve">1. Market matures, slower growth
</t>
        </r>
        <r>
          <rPr>
            <sz val="10"/>
            <color rgb="FF000000"/>
            <rFont val="Tahoma"/>
            <family val="2"/>
          </rPr>
          <t xml:space="preserve">2. Reaches 85% capacity utilization
</t>
        </r>
        <r>
          <rPr>
            <sz val="10"/>
            <color rgb="FF000000"/>
            <rFont val="Tahoma"/>
            <family val="2"/>
          </rPr>
          <t>3. Increase EV competition</t>
        </r>
      </text>
    </comment>
    <comment ref="A149" authorId="0" shapeId="0" xr:uid="{62FBC66D-A297-9C44-96C4-FCF1835C8EB8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 CASE: 50% 35% 25% 20% 15%</t>
        </r>
      </text>
    </comment>
    <comment ref="A150" authorId="0" shapeId="0" xr:uid="{96AAABA3-C0CB-4D47-A32B-E02F45A9F1EE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 CASE: 20% 18% 15% 12% 10%</t>
        </r>
      </text>
    </comment>
    <comment ref="G150" authorId="0" shapeId="0" xr:uid="{91389EA8-FC72-8448-A7F9-52199A29791F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Growing with vehicle fleet expansion
</t>
        </r>
        <r>
          <rPr>
            <sz val="10"/>
            <color rgb="FF000000"/>
            <rFont val="Tahoma"/>
            <family val="2"/>
          </rPr>
          <t xml:space="preserve">2. Supercharger network adding 10k+ stalls annually
</t>
        </r>
        <r>
          <rPr>
            <sz val="10"/>
            <color rgb="FF000000"/>
            <rFont val="Tahoma"/>
            <family val="2"/>
          </rPr>
          <t>3. Service capacity expanding with deliveries</t>
        </r>
      </text>
    </comment>
    <comment ref="A152" authorId="0" shapeId="0" xr:uid="{A8FB3710-F12B-5B48-B574-B5877CF73DEB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 CASE: -2.4% -2.3% -2.1% -1.8% -1.2%</t>
        </r>
      </text>
    </comment>
    <comment ref="G152" authorId="0" shapeId="0" xr:uid="{52F54654-097F-5A48-9DE9-3C08B170E9E8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2025</t>
        </r>
        <r>
          <rPr>
            <sz val="10"/>
            <color rgb="FF000000"/>
            <rFont val="Tahoma"/>
            <family val="2"/>
          </rPr>
          <t xml:space="preserve">: Manufacturing efficiency gains, raw material cost reductions, scale benefits from higher volume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2026-2027</t>
        </r>
        <r>
          <rPr>
            <sz val="10"/>
            <color rgb="FF000000"/>
            <rFont val="Tahoma"/>
            <family val="2"/>
          </rPr>
          <t xml:space="preserve">: 4680 battery ramp (lower cost), Giga casting benefits, continued process improvements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2028-2029</t>
        </r>
        <r>
          <rPr>
            <sz val="10"/>
            <color rgb="FF000000"/>
            <rFont val="Tahoma"/>
            <family val="2"/>
          </rPr>
          <t>: Diminishing returns on cost reduction, most efficiency gains already captured, modest ongoing optimization</t>
        </r>
      </text>
    </comment>
    <comment ref="A153" authorId="0" shapeId="0" xr:uid="{0361964A-4AFA-A84E-8B5D-F028CEC3701E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 CASE: 28% 30% 32% 33% 34%</t>
        </r>
      </text>
    </comment>
    <comment ref="A154" authorId="0" shapeId="0" xr:uid="{73A206AB-1BE4-354A-AA13-8C0B84935A15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BASE CASE: 6% 6.5% 6.5% 7% 7%
</t>
        </r>
      </text>
    </comment>
    <comment ref="G154" authorId="0" shapeId="0" xr:uid="{EFE159BC-E9FC-BE4D-A892-A078838D450F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Historical trend shows gradual improvement
</t>
        </r>
        <r>
          <rPr>
            <sz val="10"/>
            <color rgb="FF000000"/>
            <rFont val="Tahoma"/>
            <family val="2"/>
          </rPr>
          <t xml:space="preserve">2. Scale benefits as service network expands
</t>
        </r>
        <r>
          <rPr>
            <sz val="10"/>
            <color rgb="FF000000"/>
            <rFont val="Tahoma"/>
            <family val="2"/>
          </rPr>
          <t xml:space="preserve">3. Supercharger utilization improving
</t>
        </r>
        <r>
          <rPr>
            <sz val="10"/>
            <color rgb="FF000000"/>
            <rFont val="Tahoma"/>
            <family val="2"/>
          </rPr>
          <t xml:space="preserve">4. More efficient service operations
</t>
        </r>
        <r>
          <rPr>
            <sz val="10"/>
            <color rgb="FF000000"/>
            <rFont val="Tahoma"/>
            <family val="2"/>
          </rPr>
          <t>5. But remains a low-margin support business</t>
        </r>
      </text>
    </comment>
    <comment ref="E160" authorId="0" shapeId="0" xr:uid="{A0160FAF-85D4-DA4A-A10E-F997A43CBE7C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non-cash benefit of $5.9B in 2023 Q4 for release of valuation allowance of DTA
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2023 reported: $(5,001)M benefit 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Add back one-time benefit: +$5,900M 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>Normalized 2023 tax expense: $899M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>2023 Normalized effective tax rate: 9.0%</t>
        </r>
        <r>
          <rPr>
            <sz val="10"/>
            <color rgb="FF000000"/>
            <rFont val="+mn-lt"/>
            <charset val="1"/>
          </rPr>
          <t xml:space="preserve">
</t>
        </r>
      </text>
    </comment>
    <comment ref="G161" authorId="0" shapeId="0" xr:uid="{77B186BF-76F2-8144-8FCC-D5908E74C03F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3-yr average = 17.8%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high post-pandemic</t>
        </r>
      </text>
    </comment>
    <comment ref="G162" authorId="0" shapeId="0" xr:uid="{D4D32F88-AEA7-B64F-A535-85F3EED36299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3-yr avg. = 13.8%</t>
        </r>
      </text>
    </comment>
    <comment ref="G163" authorId="0" shapeId="0" xr:uid="{29AF0C2D-A32B-C441-A161-721B4558CD17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3yr avg. = 3.9%
</t>
        </r>
        <r>
          <rPr>
            <sz val="10"/>
            <color rgb="FF000000"/>
            <rFont val="Tahoma"/>
            <family val="2"/>
          </rPr>
          <t>5yr avg. = 4.3%</t>
        </r>
      </text>
    </comment>
    <comment ref="G164" authorId="0" shapeId="0" xr:uid="{2A36FBE7-326B-164E-9EDB-EC284433595C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3yr avg. = 19%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>5yr avg. = 18.1%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165" authorId="0" shapeId="0" xr:uid="{682BB9AA-449C-AF43-AD85-D0EC3DC127B0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3yr avg. = 4.2%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>5yr avg. = 4.0%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166" authorId="0" shapeId="0" xr:uid="{B0426014-1323-9249-A0F6-B95D2C58D965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3yr avg = 26%
</t>
        </r>
        <r>
          <rPr>
            <sz val="10"/>
            <color rgb="FF000000"/>
            <rFont val="Tahoma"/>
            <family val="2"/>
          </rPr>
          <t>5yr avg = 29.4%</t>
        </r>
      </text>
    </comment>
    <comment ref="G167" authorId="0" shapeId="0" xr:uid="{7F355569-5290-8C40-BC19-D063F544BAB3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3yr avg. = 34.6%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>5yr avg. = 39.1%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168" authorId="0" shapeId="0" xr:uid="{CDB19A32-BF38-5D46-A06D-8A5D3BF10350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3yr avg = 2.8%
</t>
        </r>
        <r>
          <rPr>
            <sz val="10"/>
            <color rgb="FF000000"/>
            <rFont val="Tahoma"/>
            <family val="2"/>
          </rPr>
          <t>5yr avg = 3.1%</t>
        </r>
      </text>
    </comment>
    <comment ref="G169" authorId="0" shapeId="0" xr:uid="{B9C633C4-0694-464C-972E-B46772C589AB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3yr avg = 13.5%
</t>
        </r>
        <r>
          <rPr>
            <sz val="10"/>
            <color rgb="FF000000"/>
            <rFont val="Tahoma"/>
            <family val="2"/>
          </rPr>
          <t>5yr avg = 13.6%</t>
        </r>
      </text>
    </comment>
    <comment ref="G170" authorId="0" shapeId="0" xr:uid="{A1DFC096-6228-8A41-A505-05CFFB121773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TSLA, 10K, 12/31/24, pg. 75
</t>
        </r>
        <r>
          <rPr>
            <sz val="10"/>
            <color rgb="FF000000"/>
            <rFont val="Tahoma"/>
            <family val="2"/>
          </rPr>
          <t>disclosed from 25-29</t>
        </r>
      </text>
    </comment>
    <comment ref="B174" authorId="0" shapeId="0" xr:uid="{F58B0619-E931-A249-8EC3-055D9DD7AB02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Treasury Yield 5 Years = 3.765%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Yahoo! Finance as of 11/5/2025</t>
        </r>
      </text>
    </comment>
    <comment ref="B175" authorId="0" shapeId="0" xr:uid="{E190E6AC-F20B-2647-8ADF-79E4F20A28D5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Yahoo! Finance = 1.87
</t>
        </r>
        <r>
          <rPr>
            <sz val="10"/>
            <color rgb="FF000000"/>
            <rFont val="Tahoma"/>
            <family val="2"/>
          </rPr>
          <t xml:space="preserve">Investing.com = 1.87
</t>
        </r>
        <r>
          <rPr>
            <sz val="10"/>
            <color rgb="FF000000"/>
            <rFont val="Tahoma"/>
            <family val="2"/>
          </rPr>
          <t xml:space="preserve">Gurufocus.com = 2.24
</t>
        </r>
        <r>
          <rPr>
            <sz val="10"/>
            <color rgb="FF000000"/>
            <rFont val="Tahoma"/>
            <family val="2"/>
          </rPr>
          <t xml:space="preserve">Marketwatch = 2.02
</t>
        </r>
        <r>
          <rPr>
            <sz val="10"/>
            <color rgb="FF000000"/>
            <rFont val="Tahoma"/>
            <family val="2"/>
          </rPr>
          <t xml:space="preserve">Finviz.com = 1.87
</t>
        </r>
        <r>
          <rPr>
            <sz val="10"/>
            <color rgb="FF000000"/>
            <rFont val="Tahoma"/>
            <family val="2"/>
          </rPr>
          <t>(all as of 11/5/2025)</t>
        </r>
      </text>
    </comment>
    <comment ref="B176" authorId="0" shapeId="0" xr:uid="{C8D5E8D7-F4AE-DB44-B196-4CBD924E0B33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Implied ERP on October 1, 2025 = 3.77%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https://pages.stern.nyu.edu/~adamodar/</t>
        </r>
      </text>
    </comment>
    <comment ref="B178" authorId="0" shapeId="0" xr:uid="{C109633E-FB05-3D4D-A9F8-01981F36C1CB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S&amp;P Global gives a BBB rating as of 5/1/2024
</t>
        </r>
        <r>
          <rPr>
            <sz val="10"/>
            <color rgb="FF000000"/>
            <rFont val="Tahoma"/>
            <family val="2"/>
          </rPr>
          <t xml:space="preserve">Source: https://www.spglobal.com/ratings/en/regulatory/article/-/view/type/HTML/id/3163780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Credit Spread: 1.20% for BBB
</t>
        </r>
        <r>
          <rPr>
            <sz val="10"/>
            <color rgb="FF000000"/>
            <rFont val="Tahoma"/>
            <family val="2"/>
          </rPr>
          <t>Source: https://pages.stern.nyu.edu/~adamodar/</t>
        </r>
      </text>
    </comment>
    <comment ref="B179" authorId="0" shapeId="0" xr:uid="{DCC6051F-EA68-F745-8777-B01867D2DE42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U.S. Marginal Federal Tax Rate for Corporations
</t>
        </r>
      </text>
    </comment>
    <comment ref="B185" authorId="0" shapeId="0" xr:uid="{31300A4F-E0EC-CB4D-881A-E86872D3A95D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TSLA, 10Q, 9/30/2025, cover:
"</t>
        </r>
        <r>
          <rPr>
            <sz val="10"/>
            <color rgb="FF000000"/>
            <rFont val="Aptos Narrow"/>
            <scheme val="minor"/>
          </rPr>
          <t>As of October 16, 2025, there were </t>
        </r>
        <r>
          <rPr>
            <sz val="10"/>
            <color rgb="FF000000"/>
            <rFont val="Aptos Narrow"/>
            <scheme val="minor"/>
          </rPr>
          <t>3,325,819,167</t>
        </r>
        <r>
          <rPr>
            <sz val="10"/>
            <color rgb="FF000000"/>
            <rFont val="Aptos Narrow"/>
            <scheme val="minor"/>
          </rPr>
          <t> shares of the registrant’s common stock outstanding."</t>
        </r>
      </text>
    </comment>
    <comment ref="B187" authorId="0" shapeId="0" xr:uid="{9A0E9654-1783-3245-8F7B-0E953BDF4596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TSLA, 10Q, 9/30/2025, pg. 4:
</t>
        </r>
        <r>
          <rPr>
            <sz val="10"/>
            <color rgb="FF000000"/>
            <rFont val="Tahoma"/>
            <family val="2"/>
          </rPr>
          <t>"Current portion of debt and finance leases" of $1,924m + "Debt and finance leases, net of current portion" of $5,778m</t>
        </r>
      </text>
    </comment>
    <comment ref="B189" authorId="0" shapeId="0" xr:uid="{87A6ECBA-2D68-B945-9516-90952D783FA5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TSLA, 10Q, 9/30/2025, pg. 5:
</t>
        </r>
        <r>
          <rPr>
            <sz val="10"/>
            <color rgb="FF000000"/>
            <rFont val="Tahoma"/>
            <family val="2"/>
          </rPr>
          <t>"</t>
        </r>
        <r>
          <rPr>
            <sz val="10"/>
            <color rgb="FF000000"/>
            <rFont val="Aptos Narrow"/>
            <scheme val="minor"/>
          </rPr>
          <t>Net income attributable to noncontrolling interests and redeemable noncontrolling interests in subsidiaries" of</t>
        </r>
        <r>
          <rPr>
            <sz val="10"/>
            <color rgb="FF000000"/>
            <rFont val="Aptos Narrow"/>
            <scheme val="minor"/>
          </rPr>
          <t xml:space="preserve"> $45m</t>
        </r>
      </text>
    </comment>
    <comment ref="B191" authorId="0" shapeId="0" xr:uid="{4887F2B0-E183-9B4E-9B16-B1F6DF6930FD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TSLA, 10Q, 9/30/2025, pg. 4:
</t>
        </r>
        <r>
          <rPr>
            <sz val="10"/>
            <color rgb="FF000000"/>
            <rFont val="Aptos Narrow"/>
            <scheme val="minor"/>
          </rPr>
          <t>"Cash and cash equivalents" of $18,289m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 Cheng</author>
  </authors>
  <commentList>
    <comment ref="A15" authorId="0" shapeId="0" xr:uid="{CD6A55D9-F09B-964F-BEB2-23329EF2ED4A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TSLA Investor Relations Website</t>
        </r>
      </text>
    </comment>
    <comment ref="G16" authorId="0" shapeId="0" xr:uid="{C9DE164D-D2CB-AB46-AE91-BAF984E0C1D2}">
      <text>
        <r>
          <rPr>
            <b/>
            <sz val="10"/>
            <color rgb="FF000000"/>
            <rFont val="Tahoma"/>
            <family val="2"/>
          </rPr>
          <t xml:space="preserve">Joann Cheng: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2025-2027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New afforable models launching H1 2025
</t>
        </r>
        <r>
          <rPr>
            <sz val="10"/>
            <color rgb="FF000000"/>
            <rFont val="Tahoma"/>
            <family val="2"/>
          </rPr>
          <t xml:space="preserve">2. Cybertruck production ramping
</t>
        </r>
        <r>
          <rPr>
            <sz val="10"/>
            <color rgb="FF000000"/>
            <rFont val="Tahoma"/>
            <family val="2"/>
          </rPr>
          <t xml:space="preserve">3. Strong demand in China, Europe, NA market
</t>
        </r>
        <r>
          <rPr>
            <sz val="10"/>
            <color rgb="FF000000"/>
            <rFont val="Tahoma"/>
            <family val="2"/>
          </rPr>
          <t xml:space="preserve">4. Well below 3M production capacity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2028-2029
</t>
        </r>
        <r>
          <rPr>
            <sz val="10"/>
            <color rgb="FF000000"/>
            <rFont val="Tahoma"/>
            <family val="2"/>
          </rPr>
          <t xml:space="preserve">1. Market matures, slower growth
</t>
        </r>
        <r>
          <rPr>
            <sz val="10"/>
            <color rgb="FF000000"/>
            <rFont val="Tahoma"/>
            <family val="2"/>
          </rPr>
          <t xml:space="preserve">2. Reaches 85% capacity utilization
</t>
        </r>
        <r>
          <rPr>
            <sz val="10"/>
            <color rgb="FF000000"/>
            <rFont val="Tahoma"/>
            <family val="2"/>
          </rPr>
          <t>3. Increase EV competition</t>
        </r>
      </text>
    </comment>
    <comment ref="E18" authorId="0" shapeId="0" xr:uid="{54E41BEF-054D-4A4F-A3DF-FF51E3EB24FE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Significant drop due to PRICE CUT (to stimulate demand)
</t>
        </r>
      </text>
    </comment>
    <comment ref="G18" authorId="0" shapeId="0" xr:uid="{4E1B9C4F-8380-CD41-A916-A54F5E3AB078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2025
</t>
        </r>
        <r>
          <rPr>
            <sz val="10"/>
            <color rgb="FF000000"/>
            <rFont val="Tahoma"/>
            <family val="2"/>
          </rPr>
          <t xml:space="preserve">1. Affordable models launch (result in biggest impact year)
</t>
        </r>
        <r>
          <rPr>
            <sz val="10"/>
            <color rgb="FF000000"/>
            <rFont val="Tahoma"/>
            <family val="2"/>
          </rPr>
          <t xml:space="preserve">2. Product mix shifts to lower-priced vehicles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2026</t>
        </r>
        <r>
          <rPr>
            <sz val="10"/>
            <color rgb="FF000000"/>
            <rFont val="Tahoma"/>
            <family val="2"/>
          </rPr>
          <t xml:space="preserve">
1. Continued mix shift impact
</t>
        </r>
        <r>
          <rPr>
            <sz val="10"/>
            <color rgb="FF000000"/>
            <rFont val="Tahoma"/>
            <family val="2"/>
          </rPr>
          <t xml:space="preserve">2. Cybertruck ramp partially offsets (higher ASP)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2027-2029
</t>
        </r>
        <r>
          <rPr>
            <sz val="10"/>
            <color rgb="FF000000"/>
            <rFont val="Tahoma"/>
            <family val="2"/>
          </rPr>
          <t xml:space="preserve">1. Pricing stabilizes as mix normalizes
</t>
        </r>
        <r>
          <rPr>
            <sz val="10"/>
            <color rgb="FF000000"/>
            <rFont val="Tahoma"/>
            <family val="2"/>
          </rPr>
          <t xml:space="preserve">2. Focus shifts to volume over price cuts
</t>
        </r>
        <r>
          <rPr>
            <sz val="10"/>
            <color rgb="FF000000"/>
            <rFont val="Tahoma"/>
            <family val="2"/>
          </rPr>
          <t>3. Minor competitive pressure changes</t>
        </r>
      </text>
    </comment>
    <comment ref="F19" authorId="0" shapeId="0" xr:uid="{F5B24428-8643-A046-A074-08EA8A63431C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TSLA Investor Relation Report states: "2024 Q4 &lt; $35000 record low"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20" authorId="0" shapeId="0" xr:uid="{4D0AEA48-F4A4-6844-8B43-68BAED0D6817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2025</t>
        </r>
        <r>
          <rPr>
            <sz val="10"/>
            <color rgb="FF000000"/>
            <rFont val="Tahoma"/>
            <family val="2"/>
          </rPr>
          <t xml:space="preserve">: Manufacturing efficiency gains, raw material cost reductions, scale benefits from higher volume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2026-2027</t>
        </r>
        <r>
          <rPr>
            <sz val="10"/>
            <color rgb="FF000000"/>
            <rFont val="Tahoma"/>
            <family val="2"/>
          </rPr>
          <t xml:space="preserve">: 4680 battery ramp (lower cost), Giga casting benefits, continued process improvements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2028-2029</t>
        </r>
        <r>
          <rPr>
            <sz val="10"/>
            <color rgb="FF000000"/>
            <rFont val="Tahoma"/>
            <family val="2"/>
          </rPr>
          <t>: Diminishing returns on cost reduction, most efficiency gains already captured, modest ongoing optimization</t>
        </r>
      </text>
    </comment>
    <comment ref="A22" authorId="0" shapeId="0" xr:uid="{ED39C491-F45F-EA43-8615-E0AFE29143DE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Q4 2024 Investor Relation Report: "We expect energy storage deployments to grow at least 50% YOY in 2025"
</t>
        </r>
        <r>
          <rPr>
            <sz val="10"/>
            <color rgb="FF000000"/>
            <rFont val="Tahoma"/>
            <family val="2"/>
          </rPr>
          <t xml:space="preserve">Key Drivers:
</t>
        </r>
        <r>
          <rPr>
            <sz val="10"/>
            <color rgb="FF000000"/>
            <rFont val="Tahoma"/>
            <family val="2"/>
          </rPr>
          <t xml:space="preserve">- Shanghai Megafactory completed, ramping in Q1 2025
</t>
        </r>
        <r>
          <rPr>
            <sz val="10"/>
            <color rgb="FF000000"/>
            <rFont val="Tahoma"/>
            <family val="2"/>
          </rPr>
          <t xml:space="preserve">- Powerwall 3 production ramping
</t>
        </r>
        <r>
          <rPr>
            <sz val="10"/>
            <color rgb="FF000000"/>
            <rFont val="Tahoma"/>
            <family val="2"/>
          </rPr>
          <t xml:space="preserve">- Both products are supply constrained (demand exceeds supply)
</t>
        </r>
        <r>
          <rPr>
            <sz val="10"/>
            <color rgb="FF000000"/>
            <rFont val="Tahoma"/>
            <family val="2"/>
          </rPr>
          <t xml:space="preserve">- Record deployments: 31.4 GWh in 2024 (up114% from prior year)
</t>
        </r>
        <r>
          <rPr>
            <sz val="10"/>
            <color rgb="FF000000"/>
            <rFont val="Tahoma"/>
            <family val="2"/>
          </rPr>
          <t>- Energy business hitting record gross profits</t>
        </r>
      </text>
    </comment>
    <comment ref="G27" authorId="0" shapeId="0" xr:uid="{C606CA98-C78C-A34D-9840-891D9D6330B8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Growing with vehicle fleet expansion
</t>
        </r>
        <r>
          <rPr>
            <sz val="10"/>
            <color rgb="FF000000"/>
            <rFont val="Tahoma"/>
            <family val="2"/>
          </rPr>
          <t xml:space="preserve">2. Supercharger network adding 10k+ stalls annually
</t>
        </r>
        <r>
          <rPr>
            <sz val="10"/>
            <color rgb="FF000000"/>
            <rFont val="Tahoma"/>
            <family val="2"/>
          </rPr>
          <t>3. Service capacity expanding with deliveries</t>
        </r>
      </text>
    </comment>
    <comment ref="G28" authorId="0" shapeId="0" xr:uid="{524CE7AB-3D83-894D-98B2-A4FD6B008593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Historical trend shows gradual improvement
</t>
        </r>
        <r>
          <rPr>
            <sz val="10"/>
            <color rgb="FF000000"/>
            <rFont val="Tahoma"/>
            <family val="2"/>
          </rPr>
          <t xml:space="preserve">2. Scale benefits as service network expands
</t>
        </r>
        <r>
          <rPr>
            <sz val="10"/>
            <color rgb="FF000000"/>
            <rFont val="Tahoma"/>
            <family val="2"/>
          </rPr>
          <t xml:space="preserve">3. Supercharger utilization improving
</t>
        </r>
        <r>
          <rPr>
            <sz val="10"/>
            <color rgb="FF000000"/>
            <rFont val="Tahoma"/>
            <family val="2"/>
          </rPr>
          <t xml:space="preserve">4. More efficient service operations
</t>
        </r>
        <r>
          <rPr>
            <sz val="10"/>
            <color rgb="FF000000"/>
            <rFont val="Tahoma"/>
            <family val="2"/>
          </rPr>
          <t>5. But remains a low-margin support business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 Cheng</author>
  </authors>
  <commentList>
    <comment ref="C122" authorId="0" shapeId="0" xr:uid="{6E2B3B6D-5423-C647-B8B5-8A4EDFEEF599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includes collateralized lease repayments: -9</t>
        </r>
      </text>
    </comment>
    <comment ref="C124" authorId="0" shapeId="0" xr:uid="{794CC75E-5EA7-7C4C-BC15-25E3AF75DF9B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Includes Proceeds from investments by noncontrolling interests in subsidiaries: 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 Cheng</author>
  </authors>
  <commentList>
    <comment ref="E124" authorId="0" shapeId="0" xr:uid="{A856C95C-558B-B84E-8DFB-7B43ABD494A6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non-cash benefit of $5.9B in 2023 Q4 for release of valuation allowance of DTA
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2023 reported: $(5,001)M benefit 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 xml:space="preserve">Add back one-time benefit: +$5,900M 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>Normalized 2023 tax expense: $899M</t>
        </r>
        <r>
          <rPr>
            <sz val="10"/>
            <color rgb="FF000000"/>
            <rFont val="+mn-lt"/>
            <charset val="1"/>
          </rPr>
          <t xml:space="preserve">
</t>
        </r>
        <r>
          <rPr>
            <sz val="10"/>
            <color rgb="FF000000"/>
            <rFont val="+mn-lt"/>
            <charset val="1"/>
          </rPr>
          <t>2023 Normalized effective tax rate: 9.0%</t>
        </r>
        <r>
          <rPr>
            <sz val="10"/>
            <color rgb="FF000000"/>
            <rFont val="+mn-lt"/>
            <charset val="1"/>
          </rPr>
          <t xml:space="preserve">
</t>
        </r>
      </text>
    </comment>
    <comment ref="G125" authorId="0" shapeId="0" xr:uid="{AE745C82-1D04-BE44-9DC8-E9304E2FC020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3-yr average = 17.8%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high post-pandemic</t>
        </r>
      </text>
    </comment>
    <comment ref="G126" authorId="0" shapeId="0" xr:uid="{6DD4CA20-B311-0C46-A27A-97EC0287D26B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3-yr avg. = 13.8%</t>
        </r>
      </text>
    </comment>
    <comment ref="G127" authorId="0" shapeId="0" xr:uid="{043FAAE1-D837-9C4D-BB2D-412076BF09B6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3yr avg. = 3.9%
</t>
        </r>
        <r>
          <rPr>
            <sz val="10"/>
            <color rgb="FF000000"/>
            <rFont val="Tahoma"/>
            <family val="2"/>
          </rPr>
          <t>5yr avg. = 4.3%</t>
        </r>
      </text>
    </comment>
    <comment ref="G128" authorId="0" shapeId="0" xr:uid="{94F18F5B-0315-284A-AD30-ED87EED51E57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3yr avg. = 19%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>5yr avg. = 18.1%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129" authorId="0" shapeId="0" xr:uid="{BDB38063-1BE1-3948-888B-0AA3C110CDB2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3yr avg. = 4.2%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>5yr avg. = 4.0%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130" authorId="0" shapeId="0" xr:uid="{01583601-E0D3-6F40-B0CE-DE0C60309355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3yr avg = 26%
</t>
        </r>
        <r>
          <rPr>
            <sz val="10"/>
            <color rgb="FF000000"/>
            <rFont val="Tahoma"/>
            <family val="2"/>
          </rPr>
          <t>5yr avg = 29.4%</t>
        </r>
      </text>
    </comment>
    <comment ref="G131" authorId="0" shapeId="0" xr:uid="{D21BBF64-AE08-BE4A-B859-C4DFE28B1FCE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3yr avg. = 34.6%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>5yr avg. = 39.1%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132" authorId="0" shapeId="0" xr:uid="{611397FD-D2D4-4248-8C91-DE12FE5EA9D7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3yr avg = 2.8%
</t>
        </r>
        <r>
          <rPr>
            <sz val="10"/>
            <color rgb="FF000000"/>
            <rFont val="Tahoma"/>
            <family val="2"/>
          </rPr>
          <t>5yr avg = 3.1%</t>
        </r>
      </text>
    </comment>
    <comment ref="G133" authorId="0" shapeId="0" xr:uid="{05CABF95-0C8C-4B42-A2CA-F18EDFADB251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3yr avg = 13.5%
</t>
        </r>
        <r>
          <rPr>
            <sz val="10"/>
            <color rgb="FF000000"/>
            <rFont val="Tahoma"/>
            <family val="2"/>
          </rPr>
          <t>5yr avg = 13.6%</t>
        </r>
      </text>
    </comment>
    <comment ref="G134" authorId="0" shapeId="0" xr:uid="{BB1A8E4C-9025-644C-BAF1-712674C36F29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TSLA, 10K, 12/31/24, pg. 75
</t>
        </r>
        <r>
          <rPr>
            <sz val="10"/>
            <color rgb="FF000000"/>
            <rFont val="Tahoma"/>
            <family val="2"/>
          </rPr>
          <t>disclosed from 25-29</t>
        </r>
      </text>
    </comment>
    <comment ref="B138" authorId="0" shapeId="0" xr:uid="{807F1287-0C95-A248-BBB2-F0C86A6CA2BE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Treasury Yield 5 Years = 3.765%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Yahoo! Finance as of 11/5/2025</t>
        </r>
      </text>
    </comment>
    <comment ref="B139" authorId="0" shapeId="0" xr:uid="{7FF162F2-DF75-A04C-B2D0-F117786C97CA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Yahoo! Finance = 1.87
</t>
        </r>
        <r>
          <rPr>
            <sz val="10"/>
            <color rgb="FF000000"/>
            <rFont val="Tahoma"/>
            <family val="2"/>
          </rPr>
          <t xml:space="preserve">Investing.com = 1.87
</t>
        </r>
        <r>
          <rPr>
            <sz val="10"/>
            <color rgb="FF000000"/>
            <rFont val="Tahoma"/>
            <family val="2"/>
          </rPr>
          <t xml:space="preserve">Gurufocus.com = 2.24
</t>
        </r>
        <r>
          <rPr>
            <sz val="10"/>
            <color rgb="FF000000"/>
            <rFont val="Tahoma"/>
            <family val="2"/>
          </rPr>
          <t xml:space="preserve">Marketwatch = 2.02
</t>
        </r>
        <r>
          <rPr>
            <sz val="10"/>
            <color rgb="FF000000"/>
            <rFont val="Tahoma"/>
            <family val="2"/>
          </rPr>
          <t xml:space="preserve">Finviz.com = 1.87
</t>
        </r>
        <r>
          <rPr>
            <sz val="10"/>
            <color rgb="FF000000"/>
            <rFont val="Tahoma"/>
            <family val="2"/>
          </rPr>
          <t>(all as of 11/5/2025)</t>
        </r>
      </text>
    </comment>
    <comment ref="B140" authorId="0" shapeId="0" xr:uid="{C1EC54E3-61A4-2E45-B7F3-071C00910790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Implied ERP on October 1, 2025 = 3.77%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https://pages.stern.nyu.edu/~adamodar/</t>
        </r>
      </text>
    </comment>
    <comment ref="B142" authorId="0" shapeId="0" xr:uid="{93F8B6E1-BFAE-9A46-AACD-0C0EC88B05C3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S&amp;P Global gives a BBB rating as of 5/1/2024
</t>
        </r>
        <r>
          <rPr>
            <sz val="10"/>
            <color rgb="FF000000"/>
            <rFont val="Tahoma"/>
            <family val="2"/>
          </rPr>
          <t xml:space="preserve">Source: https://www.spglobal.com/ratings/en/regulatory/article/-/view/type/HTML/id/3163780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Credit Spread: 1.20% for BBB
</t>
        </r>
        <r>
          <rPr>
            <sz val="10"/>
            <color rgb="FF000000"/>
            <rFont val="Tahoma"/>
            <family val="2"/>
          </rPr>
          <t>Source: https://pages.stern.nyu.edu/~adamodar/</t>
        </r>
      </text>
    </comment>
    <comment ref="B143" authorId="0" shapeId="0" xr:uid="{66BF01A2-4DE2-B74C-82C2-6EBE1F9E4A8B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U.S. Marginal Federal Tax Rate for Corporations
</t>
        </r>
      </text>
    </comment>
    <comment ref="B149" authorId="0" shapeId="0" xr:uid="{61A24CB2-05A3-3C46-85F7-E515C6C2D3CD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TSLA, 10Q, 9/30/2025, cover:
"</t>
        </r>
        <r>
          <rPr>
            <sz val="10"/>
            <color rgb="FF000000"/>
            <rFont val="Aptos Narrow"/>
            <scheme val="minor"/>
          </rPr>
          <t>As of October 16, 2025, there were </t>
        </r>
        <r>
          <rPr>
            <sz val="10"/>
            <color rgb="FF000000"/>
            <rFont val="Aptos Narrow"/>
            <scheme val="minor"/>
          </rPr>
          <t>3,325,819,167</t>
        </r>
        <r>
          <rPr>
            <sz val="10"/>
            <color rgb="FF000000"/>
            <rFont val="Aptos Narrow"/>
            <scheme val="minor"/>
          </rPr>
          <t> shares of the registrant’s common stock outstanding."</t>
        </r>
      </text>
    </comment>
    <comment ref="B151" authorId="0" shapeId="0" xr:uid="{923BDA1B-0B0B-FA4A-B3A0-5CCEC3073179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TSLA, 10Q, 9/30/2025, pg. 4:
</t>
        </r>
        <r>
          <rPr>
            <sz val="10"/>
            <color rgb="FF000000"/>
            <rFont val="Tahoma"/>
            <family val="2"/>
          </rPr>
          <t>"Current portion of debt and finance leases" of $1,924m + "Debt and finance leases, net of current portion" of $5,778m</t>
        </r>
      </text>
    </comment>
    <comment ref="B153" authorId="0" shapeId="0" xr:uid="{7F37764E-27A5-714F-AA9B-CC793E875DF7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TSLA, 10Q, 9/30/2025, pg. 5:
</t>
        </r>
        <r>
          <rPr>
            <sz val="10"/>
            <color rgb="FF000000"/>
            <rFont val="Tahoma"/>
            <family val="2"/>
          </rPr>
          <t>"</t>
        </r>
        <r>
          <rPr>
            <sz val="10"/>
            <color rgb="FF000000"/>
            <rFont val="Aptos Narrow"/>
            <scheme val="minor"/>
          </rPr>
          <t>Net income attributable to noncontrolling interests and redeemable noncontrolling interests in subsidiaries" of</t>
        </r>
        <r>
          <rPr>
            <sz val="10"/>
            <color rgb="FF000000"/>
            <rFont val="Aptos Narrow"/>
            <scheme val="minor"/>
          </rPr>
          <t xml:space="preserve"> $45m</t>
        </r>
      </text>
    </comment>
    <comment ref="B155" authorId="0" shapeId="0" xr:uid="{DC346D57-0588-4B40-92E5-EC0CC814B16D}">
      <text>
        <r>
          <rPr>
            <b/>
            <sz val="10"/>
            <color rgb="FF000000"/>
            <rFont val="Tahoma"/>
            <family val="2"/>
          </rPr>
          <t>Joann Cheng: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TSLA, 10Q, 9/30/2025, pg. 4:
</t>
        </r>
        <r>
          <rPr>
            <sz val="10"/>
            <color rgb="FF000000"/>
            <rFont val="Aptos Narrow"/>
            <scheme val="minor"/>
          </rPr>
          <t>"Cash and cash equivalents" of $18,289m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<sst xmlns="http://schemas.openxmlformats.org/spreadsheetml/2006/main" count="756" uniqueCount="331">
  <si>
    <t>INCOME STATEMENT</t>
  </si>
  <si>
    <t xml:space="preserve">Automotive </t>
  </si>
  <si>
    <t>Energy Generation and Storage</t>
  </si>
  <si>
    <t>Services and Other</t>
  </si>
  <si>
    <t>Total Revenue</t>
  </si>
  <si>
    <t>Cost of Automotive</t>
  </si>
  <si>
    <t>Cost of Energy Generation and Storage</t>
  </si>
  <si>
    <t>Cost of Services and Other</t>
  </si>
  <si>
    <t>Operating Income</t>
  </si>
  <si>
    <t>Pre-Tax Income</t>
  </si>
  <si>
    <t>Net Income</t>
  </si>
  <si>
    <t>BALANCE SHEET</t>
  </si>
  <si>
    <t>Cash and Cash Equivalents</t>
  </si>
  <si>
    <t>Short-term investments</t>
  </si>
  <si>
    <t>Inventory</t>
  </si>
  <si>
    <t>Noncontrolling Interests</t>
  </si>
  <si>
    <t>Total Assets</t>
  </si>
  <si>
    <t>Total Liabilities</t>
  </si>
  <si>
    <t>DRIVERS</t>
  </si>
  <si>
    <t>Delivery Growth %</t>
  </si>
  <si>
    <t>ASP Change %</t>
  </si>
  <si>
    <t>Cost Change %</t>
  </si>
  <si>
    <t>Average Selling Price ($M)</t>
  </si>
  <si>
    <t>Average Cost per Vehicle ($M)</t>
  </si>
  <si>
    <t>Energy Gross Margin</t>
  </si>
  <si>
    <t>Energy Revenue Growth %</t>
  </si>
  <si>
    <t>Services and Other Growth %</t>
  </si>
  <si>
    <t>Services Gross Margin</t>
  </si>
  <si>
    <t>CASH FLOW STATEMENT</t>
  </si>
  <si>
    <t>Cash Flows from Financing Activities</t>
  </si>
  <si>
    <t>Proceeds from issuances of debt</t>
  </si>
  <si>
    <t>Repayments of debt</t>
  </si>
  <si>
    <t>Proceeds from exercises of stock options and other stock issuances</t>
  </si>
  <si>
    <t>Principal payments on finance leases</t>
  </si>
  <si>
    <t>Debt issuance costs</t>
  </si>
  <si>
    <t>Distributions paid to noncontrolling interests in subsidiaries</t>
  </si>
  <si>
    <t>Payments for buy-outs of noncontrolling interests in subsidiaries</t>
  </si>
  <si>
    <t>Net cash provided by (used in) financing activities</t>
  </si>
  <si>
    <t>Effect of exchange rate changes on cash and cash equivalents and restricted cash</t>
  </si>
  <si>
    <t>Net (decrease) increase in cash and cash equivalents and restricted cash</t>
  </si>
  <si>
    <t>Cash and cash equivalents and restricted cash, beginning of period</t>
  </si>
  <si>
    <t>Cash and cash equivalents and restricted cash, end of period</t>
  </si>
  <si>
    <t>Supplemental Non-Cash Investing and Financing Activities</t>
  </si>
  <si>
    <t>Acquisitions of property and equipment included in liabilities</t>
  </si>
  <si>
    <t>Supplemental Disclosures</t>
  </si>
  <si>
    <t>Cash paid during the period for interest</t>
  </si>
  <si>
    <t>Cash paid during the period for income taxes, net of refunds</t>
  </si>
  <si>
    <t>Assets</t>
  </si>
  <si>
    <t>Cash and cash equivalents</t>
  </si>
  <si>
    <t>Accounts receivable, net</t>
  </si>
  <si>
    <t>Prepaid expenses and other current assets</t>
  </si>
  <si>
    <t>Total current assets</t>
  </si>
  <si>
    <t>Operating lease vehicles, net</t>
  </si>
  <si>
    <t>Solar energy systems, net</t>
  </si>
  <si>
    <t>Property, plant and equipment, net</t>
  </si>
  <si>
    <t>Operating lease right-of-use assets</t>
  </si>
  <si>
    <t>Digital assets, net</t>
  </si>
  <si>
    <t>Intangible assets, net</t>
  </si>
  <si>
    <t>Goodwill</t>
  </si>
  <si>
    <t>Deferred tax assets</t>
  </si>
  <si>
    <t>Other non-current assets</t>
  </si>
  <si>
    <t>Total assets</t>
  </si>
  <si>
    <t>Liabilities</t>
  </si>
  <si>
    <t>Accounts payable</t>
  </si>
  <si>
    <t>Accrued liabilities and other</t>
  </si>
  <si>
    <t>Deferred revenue</t>
  </si>
  <si>
    <t>Current portion of debt and finance leases</t>
  </si>
  <si>
    <t>Total current liabilities</t>
  </si>
  <si>
    <t>Debt and finance leases, net of current portion</t>
  </si>
  <si>
    <t>Deferred revenue, net of current portion</t>
  </si>
  <si>
    <t>Other long-term liabilities</t>
  </si>
  <si>
    <t>Total liabilities</t>
  </si>
  <si>
    <t>Historical</t>
  </si>
  <si>
    <t>Forecast</t>
  </si>
  <si>
    <t>Redeemable noncontrolling interests in subsidiaries</t>
  </si>
  <si>
    <t>Equity</t>
  </si>
  <si>
    <t>Additional paid-in capital</t>
  </si>
  <si>
    <t>Accumulated other comprehensive loss</t>
  </si>
  <si>
    <t>Retained earnings</t>
  </si>
  <si>
    <t>Total stockholders’ equity</t>
  </si>
  <si>
    <t>Noncontrolling interests in subsidiaries</t>
  </si>
  <si>
    <t>Total liabilities and equity</t>
  </si>
  <si>
    <t>Preferred stock</t>
  </si>
  <si>
    <t>Common stock</t>
  </si>
  <si>
    <t>check</t>
  </si>
  <si>
    <t>Revenues</t>
  </si>
  <si>
    <t>Automotive sales</t>
  </si>
  <si>
    <t>Automotive regulatory credits</t>
  </si>
  <si>
    <t>Automotive leasing</t>
  </si>
  <si>
    <t>Total automotive revenues</t>
  </si>
  <si>
    <t>Energy generation and storage</t>
  </si>
  <si>
    <t>Services and other</t>
  </si>
  <si>
    <t>Total revenues</t>
  </si>
  <si>
    <t>Cost of revenues</t>
  </si>
  <si>
    <t>Total automotive cost of revenues</t>
  </si>
  <si>
    <t>Total cost of revenues</t>
  </si>
  <si>
    <t>Gross profit</t>
  </si>
  <si>
    <t>Operating expenses</t>
  </si>
  <si>
    <t>Research and development</t>
  </si>
  <si>
    <t>Selling, general and administrative</t>
  </si>
  <si>
    <t>Restructuring and other</t>
  </si>
  <si>
    <t>Total operating expenses</t>
  </si>
  <si>
    <t>Income from operations</t>
  </si>
  <si>
    <t>Interest income</t>
  </si>
  <si>
    <t>Interest expense</t>
  </si>
  <si>
    <t>Other income (expense), net</t>
  </si>
  <si>
    <t>Income before income taxes</t>
  </si>
  <si>
    <t>Provision for (benefit from) income taxes</t>
  </si>
  <si>
    <t>Net income</t>
  </si>
  <si>
    <t>Net income attributable to common stockholders</t>
  </si>
  <si>
    <t>Net income per share of common stock attributable to common stockholders</t>
  </si>
  <si>
    <t>Basic</t>
  </si>
  <si>
    <t>2.23 </t>
  </si>
  <si>
    <t>4.73 </t>
  </si>
  <si>
    <t>Diluted</t>
  </si>
  <si>
    <t>2.04 </t>
  </si>
  <si>
    <t>4.30 </t>
  </si>
  <si>
    <t>Weighted average shares used in computing net income per share of common stock</t>
  </si>
  <si>
    <t>Net income (loss) attributable to noncontrolling interests</t>
  </si>
  <si>
    <t>Cash Flows from Operating Activities</t>
  </si>
  <si>
    <t>Adjustments to reconcile net income to net cash provided by operating activities:</t>
  </si>
  <si>
    <t>Depreciation, amortization and impairment</t>
  </si>
  <si>
    <t>Stock-based compensation</t>
  </si>
  <si>
    <t>Inventory and purchase commitments write-downs</t>
  </si>
  <si>
    <t>Foreign currency transaction net unrealized (gain) loss</t>
  </si>
  <si>
    <t>Deferred income taxes</t>
  </si>
  <si>
    <t>Non-cash interest and other operating activities</t>
  </si>
  <si>
    <t>Digital assets (gain) loss, net</t>
  </si>
  <si>
    <t>Changes in operating assets and liabilities:</t>
  </si>
  <si>
    <t>Accounts receivable</t>
  </si>
  <si>
    <t>Operating lease vehicles</t>
  </si>
  <si>
    <t>Prepaid expenses and other assets</t>
  </si>
  <si>
    <t>Accounts payable, accrued and other liabilities</t>
  </si>
  <si>
    <t>Net cash provided by operating activities</t>
  </si>
  <si>
    <t>Cash Flows from Investing Activities</t>
  </si>
  <si>
    <t>Purchases of property and equipment excluding finance leases, net of sales</t>
  </si>
  <si>
    <t>Purchases of solar energy systems, net of sales</t>
  </si>
  <si>
    <t>Proceeds from sales of digital assets</t>
  </si>
  <si>
    <t>Purchase of intangible assets</t>
  </si>
  <si>
    <t>Purchases of investments</t>
  </si>
  <si>
    <t>Proceeds from maturities of investments</t>
  </si>
  <si>
    <t>Proceeds from sales of investments</t>
  </si>
  <si>
    <t>Receipt of government grants</t>
  </si>
  <si>
    <t>Business combinations, net of cash acquired</t>
  </si>
  <si>
    <t>Net cash used in investing activities</t>
  </si>
  <si>
    <t>BUCKET</t>
  </si>
  <si>
    <t>Other assets</t>
  </si>
  <si>
    <t>PP&amp;E, net</t>
  </si>
  <si>
    <t>Prepaid expenses</t>
  </si>
  <si>
    <t>A/P &amp; Accrued Liabilities</t>
  </si>
  <si>
    <t>Debt</t>
  </si>
  <si>
    <t>Other liabilities</t>
  </si>
  <si>
    <t>Noncontrolling interests</t>
  </si>
  <si>
    <t>Paid in capital</t>
  </si>
  <si>
    <t>Other equity</t>
  </si>
  <si>
    <t>Check</t>
  </si>
  <si>
    <t>Convertible senior notes</t>
  </si>
  <si>
    <t>R&amp;D</t>
  </si>
  <si>
    <t>SG&amp;A</t>
  </si>
  <si>
    <t>Other Opex</t>
  </si>
  <si>
    <t>Other</t>
  </si>
  <si>
    <t>Taxes</t>
  </si>
  <si>
    <t>Cost of goods sold</t>
  </si>
  <si>
    <t>EBITDA</t>
  </si>
  <si>
    <t>D&amp;A</t>
  </si>
  <si>
    <t>Other non-cash charges</t>
  </si>
  <si>
    <t>𝚫 in Inventory</t>
  </si>
  <si>
    <t>𝚫 in Accounts Receivables</t>
  </si>
  <si>
    <t>Other Changes in OWC</t>
  </si>
  <si>
    <t>𝚫 in Prepaid expenses</t>
  </si>
  <si>
    <t>𝚫 in A/P &amp; Accrued Liabilities</t>
  </si>
  <si>
    <t>Capex</t>
  </si>
  <si>
    <t>Other cash from investing</t>
  </si>
  <si>
    <t>Proceeds from issuances of common stock, net of costs</t>
  </si>
  <si>
    <t>Equity issuance</t>
  </si>
  <si>
    <t>Debt issuance</t>
  </si>
  <si>
    <t>Debt repayment</t>
  </si>
  <si>
    <t>Other cash from financing</t>
  </si>
  <si>
    <t>FX impact</t>
  </si>
  <si>
    <t>Net cash from operations</t>
  </si>
  <si>
    <t>Net cash from investing</t>
  </si>
  <si>
    <t>Net cash from financing</t>
  </si>
  <si>
    <t>Net change in cash for the period</t>
  </si>
  <si>
    <t>Opening Cash</t>
  </si>
  <si>
    <t>Closing Cash</t>
  </si>
  <si>
    <t>EXCESS CASH</t>
  </si>
  <si>
    <t xml:space="preserve">Beginning PP&amp;E </t>
  </si>
  <si>
    <t>+ Capex</t>
  </si>
  <si>
    <t>- D&amp;A</t>
  </si>
  <si>
    <t>Ending PP&amp;E</t>
  </si>
  <si>
    <t>Beginning Retained Earnings</t>
  </si>
  <si>
    <t>+ Net Income</t>
  </si>
  <si>
    <t>- Dividends</t>
  </si>
  <si>
    <t>Ending Retained Earnings</t>
  </si>
  <si>
    <t>Required Cash</t>
  </si>
  <si>
    <t>EXCESS Cash / (Revolver)</t>
  </si>
  <si>
    <t>FORECASTED LINE ITEMS</t>
  </si>
  <si>
    <t>REVOLVER</t>
  </si>
  <si>
    <t>FORECAST DRIVERS</t>
  </si>
  <si>
    <t>Revenue growth %</t>
  </si>
  <si>
    <t>Interest income on Cash</t>
  </si>
  <si>
    <t>Interest expense on Debt</t>
  </si>
  <si>
    <t>Effective tax rate</t>
  </si>
  <si>
    <t>Debt Paydown</t>
  </si>
  <si>
    <t>DCF Assumptions</t>
  </si>
  <si>
    <t>SCENARIOS</t>
  </si>
  <si>
    <t>WORST</t>
  </si>
  <si>
    <t>STEADY</t>
  </si>
  <si>
    <t>BEST</t>
  </si>
  <si>
    <t>BEAR</t>
  </si>
  <si>
    <t>BASE</t>
  </si>
  <si>
    <t>BULL</t>
  </si>
  <si>
    <t>COGS as % of Rev</t>
  </si>
  <si>
    <t>D&amp;A as % of Rev</t>
  </si>
  <si>
    <t>R&amp;D as % of Rev</t>
  </si>
  <si>
    <t>SG&amp;A as % of Rev</t>
  </si>
  <si>
    <t>Interest rate on Debt</t>
  </si>
  <si>
    <t>Capex as % of Rev</t>
  </si>
  <si>
    <t>($ in millions)</t>
  </si>
  <si>
    <t>CASE</t>
  </si>
  <si>
    <t>CASE:</t>
  </si>
  <si>
    <t>Risk-free rate (5 yr Treasury)</t>
  </si>
  <si>
    <t>Beta</t>
  </si>
  <si>
    <t>EMRP</t>
  </si>
  <si>
    <t>Cost of equity</t>
  </si>
  <si>
    <t>Pre-tax cost of debt</t>
  </si>
  <si>
    <t>Debt as % of total capital</t>
  </si>
  <si>
    <t>Equity as % of total capital</t>
  </si>
  <si>
    <t>WACC</t>
  </si>
  <si>
    <t>Current share price (11/5/2025)</t>
  </si>
  <si>
    <t>Number of shares out (mm)</t>
  </si>
  <si>
    <t>Total capital</t>
  </si>
  <si>
    <t>Non-controlling interests</t>
  </si>
  <si>
    <t>Associate Investments</t>
  </si>
  <si>
    <t>Cash &amp; Cash Equivalents</t>
  </si>
  <si>
    <t>Terminal growth rate</t>
  </si>
  <si>
    <t>Terminal EBITDA multiple</t>
  </si>
  <si>
    <t>Market capitalization</t>
  </si>
  <si>
    <t>Book value of debt</t>
  </si>
  <si>
    <t>Post-tax cost of debt</t>
  </si>
  <si>
    <t>Current TEV/EBITDA around 136x</t>
  </si>
  <si>
    <t>Upper limit</t>
  </si>
  <si>
    <t>DISCOUNTED CASH FLOW VALUATION</t>
  </si>
  <si>
    <t>Cash Taxes (Unlevered)</t>
  </si>
  <si>
    <t>EBIAT or NOPAT</t>
  </si>
  <si>
    <t>Add Back D&amp;A</t>
  </si>
  <si>
    <t>Free Cash Flow to the Firm (FCFF)</t>
  </si>
  <si>
    <t>Terminal Value</t>
  </si>
  <si>
    <t>Cash Flows to Discount</t>
  </si>
  <si>
    <t>Discount Factor</t>
  </si>
  <si>
    <t>PV of Cash Flows</t>
  </si>
  <si>
    <t>EBIT</t>
  </si>
  <si>
    <t>Total Enterprise Value (TEV)</t>
  </si>
  <si>
    <t>Less: Debt</t>
  </si>
  <si>
    <t>Plus: Cash</t>
  </si>
  <si>
    <t>Less: Noncontrolling interests</t>
  </si>
  <si>
    <t>Plus: Associate Investments</t>
  </si>
  <si>
    <t>Intrinsic Equity Value</t>
  </si>
  <si>
    <t>Shares Outstanding</t>
  </si>
  <si>
    <t>Implied Share Price</t>
  </si>
  <si>
    <t>Current Share Price (11/5/2025)</t>
  </si>
  <si>
    <t>(Discount) / Premium</t>
  </si>
  <si>
    <t>NEW Revolver</t>
  </si>
  <si>
    <t>Deferred Revenue</t>
  </si>
  <si>
    <t>Other Liabilities</t>
  </si>
  <si>
    <t>RATING</t>
  </si>
  <si>
    <t>SENSITIVITY ANALYSIS</t>
  </si>
  <si>
    <t>Capex Intensity</t>
  </si>
  <si>
    <t>Revenue growth</t>
  </si>
  <si>
    <t>Terminal Multiple</t>
  </si>
  <si>
    <t>SCENRIOS ANALYSIS</t>
  </si>
  <si>
    <t>Intrinsic</t>
  </si>
  <si>
    <t>Value</t>
  </si>
  <si>
    <t>Per Share</t>
  </si>
  <si>
    <t>(Discount)</t>
  </si>
  <si>
    <t>/Premium</t>
  </si>
  <si>
    <t>Weighted Avg</t>
  </si>
  <si>
    <t>(Discount)/Premium</t>
  </si>
  <si>
    <t>Probability</t>
  </si>
  <si>
    <t>CHART AND GRAPHS</t>
  </si>
  <si>
    <t>Revenue</t>
  </si>
  <si>
    <t>Operating Cash Flow</t>
  </si>
  <si>
    <t>Investing Cash Flow</t>
  </si>
  <si>
    <t>Financing Cash Flow</t>
  </si>
  <si>
    <t>Gross Profit Margin (%)</t>
  </si>
  <si>
    <t>Revenue Growth (% Change)</t>
  </si>
  <si>
    <t>COGS  (% of Revenue)</t>
  </si>
  <si>
    <t>D&amp;A  (% of Revenue)</t>
  </si>
  <si>
    <t>R&amp;D (% of Revenue)</t>
  </si>
  <si>
    <t>SG&amp;A (% of Revenue)</t>
  </si>
  <si>
    <t>Required Cash as (% of Revenue)</t>
  </si>
  <si>
    <t>Short-term investments (% of Revenue)</t>
  </si>
  <si>
    <t>A/R (% of Revenue)</t>
  </si>
  <si>
    <t>INV (% of COGS)</t>
  </si>
  <si>
    <t>Prepaid Expenses (% of Revenue)</t>
  </si>
  <si>
    <t>Other assets (% of Revenue)</t>
  </si>
  <si>
    <t>A/P &amp; Accrueed Liab. (% of COGS)</t>
  </si>
  <si>
    <t>Deferred Revenue (% of Revenue)</t>
  </si>
  <si>
    <t>Other Liabilities (% of Total Expenses)</t>
  </si>
  <si>
    <t>Capex (% of Revenue)</t>
  </si>
  <si>
    <t>Short-term Investments</t>
  </si>
  <si>
    <t>Accounts Receivable, net</t>
  </si>
  <si>
    <t>Prepaid Expenses</t>
  </si>
  <si>
    <t>Other Assets</t>
  </si>
  <si>
    <t>Paid-in Capital</t>
  </si>
  <si>
    <t>Other Equity</t>
  </si>
  <si>
    <t>Retained Earnings</t>
  </si>
  <si>
    <t>Shareholder's Equity</t>
  </si>
  <si>
    <t>Total Liabilities and Shareholder's Equity</t>
  </si>
  <si>
    <t>Cost of Goods Sold</t>
  </si>
  <si>
    <t>Interest Income</t>
  </si>
  <si>
    <t>Interest Expense</t>
  </si>
  <si>
    <t>Automotive</t>
  </si>
  <si>
    <t>REVENUE&amp;COGS BREAKDOWN</t>
  </si>
  <si>
    <t>COGS</t>
  </si>
  <si>
    <t>Cost of Goods Sold (COGS)</t>
  </si>
  <si>
    <t>Vehicle Deliveries</t>
  </si>
  <si>
    <t>Vehicle delivery growth rate adjustment</t>
  </si>
  <si>
    <t>Vehicle cost adj.</t>
  </si>
  <si>
    <t>Energy&amp;Storage growth rate adj.</t>
  </si>
  <si>
    <t>Service&amp;Other growth rate adj.</t>
  </si>
  <si>
    <t>Vehicle Delivery Growth (% Change)</t>
  </si>
  <si>
    <t>Energy&amp;Storage Growth (% Change)</t>
  </si>
  <si>
    <t>Service&amp;Other Growth (% Change)</t>
  </si>
  <si>
    <t>Vehicle Production Cost (% Change)</t>
  </si>
  <si>
    <t>Energy&amp;Storage Gross Margin</t>
  </si>
  <si>
    <t>Service&amp;Other Gross Margin</t>
  </si>
  <si>
    <t>Energy&amp;Storage gross margin adj.</t>
  </si>
  <si>
    <t>Service&amp;Other gross margin adj.</t>
  </si>
  <si>
    <t>Vehicle Revenue growth adjustment</t>
  </si>
  <si>
    <t>Check on Revenue&amp;COGS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</si>
</sst>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00000"/>
    <numFmt numFmtId="167" formatCode="0.0%"/>
    <numFmt numFmtId="168" formatCode="0.0%;\(0.0%\)"/>
    <numFmt numFmtId="169" formatCode="0.00%;\(0.00%\)"/>
    <numFmt numFmtId="170" formatCode="0.00&quot;x&quot;;\(0.00&quot;x&quot;\)"/>
    <numFmt numFmtId="171" formatCode="yyyy"/>
  </numFmts>
  <fonts count="3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theme="0"/>
      <name val="Aptos Narrow"/>
      <scheme val="minor"/>
    </font>
    <font>
      <sz val="10"/>
      <color rgb="FF000000"/>
      <name val="Aptos Narrow"/>
    </font>
    <font>
      <sz val="12"/>
      <name val="Aptos Narrow"/>
      <family val="2"/>
      <scheme val="minor"/>
    </font>
    <font>
      <i/>
      <sz val="12"/>
      <color rgb="FF000000"/>
      <name val="Aptos Narrow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sz val="12"/>
      <color rgb="FF0070C0"/>
      <name val="Aptos Narrow"/>
      <scheme val="minor"/>
    </font>
    <font>
      <b/>
      <sz val="12"/>
      <color rgb="FF0070C0"/>
      <name val="Aptos Narrow"/>
      <scheme val="minor"/>
    </font>
    <font>
      <sz val="12"/>
      <color rgb="FF0070C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00B050"/>
      <name val="Aptos Narrow"/>
      <family val="2"/>
      <scheme val="minor"/>
    </font>
    <font>
      <b/>
      <i/>
      <sz val="12"/>
      <color theme="1"/>
      <name val="Aptos Narrow"/>
      <scheme val="minor"/>
    </font>
    <font>
      <b/>
      <i/>
      <sz val="12"/>
      <color rgb="FFFF0000"/>
      <name val="Aptos Narrow"/>
      <scheme val="minor"/>
    </font>
    <font>
      <sz val="10"/>
      <color rgb="FF000000"/>
      <name val="+mn-lt"/>
      <charset val="1"/>
    </font>
    <font>
      <i/>
      <sz val="10"/>
      <color theme="1" tint="0.499984740745262"/>
      <name val="Aptos Narrow"/>
      <scheme val="minor"/>
    </font>
    <font>
      <b/>
      <sz val="12"/>
      <color rgb="FF00B050"/>
      <name val="Aptos Narrow"/>
      <scheme val="minor"/>
    </font>
    <font>
      <sz val="12"/>
      <color rgb="FF00B050"/>
      <name val="Aptos Narrow"/>
      <scheme val="minor"/>
    </font>
    <font>
      <b/>
      <i/>
      <sz val="12"/>
      <name val="Aptos Narrow"/>
      <scheme val="minor"/>
    </font>
    <font>
      <b/>
      <sz val="16"/>
      <color rgb="FF002060"/>
      <name val="Aptos Narrow"/>
      <scheme val="minor"/>
    </font>
    <font>
      <b/>
      <sz val="16"/>
      <color theme="1"/>
      <name val="Aptos Narrow"/>
      <scheme val="minor"/>
    </font>
    <font>
      <sz val="12"/>
      <color theme="2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2" fillId="0" borderId="0" xfId="0" applyFont="1"/>
    <xf numFmtId="0" fontId="0" fillId="0" borderId="0" xfId="0" applyAlignment="1">
      <alignment horizontal="left" indent="1"/>
    </xf>
    <xf numFmtId="0" fontId="0" fillId="0" borderId="1" xfId="0" applyBorder="1"/>
    <xf numFmtId="0" fontId="2" fillId="0" borderId="2" xfId="0" applyFont="1" applyBorder="1"/>
    <xf numFmtId="37" fontId="0" fillId="0" borderId="0" xfId="2" applyNumberFormat="1" applyFont="1"/>
    <xf numFmtId="37" fontId="2" fillId="0" borderId="2" xfId="2" applyNumberFormat="1" applyFont="1" applyBorder="1"/>
    <xf numFmtId="164" fontId="2" fillId="0" borderId="2" xfId="2" applyNumberFormat="1" applyFont="1" applyBorder="1"/>
    <xf numFmtId="0" fontId="2" fillId="0" borderId="0" xfId="0" applyFont="1" applyAlignment="1">
      <alignment horizontal="center"/>
    </xf>
    <xf numFmtId="166" fontId="0" fillId="0" borderId="0" xfId="0" applyNumberFormat="1"/>
    <xf numFmtId="168" fontId="0" fillId="0" borderId="0" xfId="3" applyNumberFormat="1" applyFont="1"/>
    <xf numFmtId="43" fontId="0" fillId="0" borderId="0" xfId="0" applyNumberFormat="1"/>
    <xf numFmtId="0" fontId="2" fillId="0" borderId="1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37" fontId="0" fillId="0" borderId="0" xfId="0" applyNumberFormat="1"/>
    <xf numFmtId="168" fontId="0" fillId="0" borderId="1" xfId="3" applyNumberFormat="1" applyFont="1" applyBorder="1"/>
    <xf numFmtId="168" fontId="0" fillId="0" borderId="0" xfId="3" applyNumberFormat="1" applyFont="1" applyFill="1"/>
    <xf numFmtId="0" fontId="0" fillId="0" borderId="0" xfId="0" applyAlignment="1">
      <alignment horizontal="left" indent="2"/>
    </xf>
    <xf numFmtId="0" fontId="2" fillId="2" borderId="0" xfId="0" applyFont="1" applyFill="1"/>
    <xf numFmtId="0" fontId="9" fillId="4" borderId="0" xfId="0" applyFont="1" applyFill="1"/>
    <xf numFmtId="0" fontId="0" fillId="0" borderId="2" xfId="0" applyBorder="1"/>
    <xf numFmtId="0" fontId="2" fillId="0" borderId="3" xfId="0" applyFont="1" applyBorder="1"/>
    <xf numFmtId="37" fontId="11" fillId="0" borderId="0" xfId="2" applyNumberFormat="1" applyFont="1"/>
    <xf numFmtId="0" fontId="8" fillId="0" borderId="2" xfId="0" applyFont="1" applyBorder="1"/>
    <xf numFmtId="0" fontId="7" fillId="0" borderId="2" xfId="0" applyFont="1" applyBorder="1"/>
    <xf numFmtId="0" fontId="7" fillId="0" borderId="3" xfId="0" applyFont="1" applyBorder="1"/>
    <xf numFmtId="0" fontId="12" fillId="0" borderId="0" xfId="0" applyFont="1"/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37" fontId="8" fillId="0" borderId="0" xfId="0" applyNumberFormat="1" applyFont="1" applyAlignment="1">
      <alignment horizontal="right"/>
    </xf>
    <xf numFmtId="37" fontId="3" fillId="0" borderId="0" xfId="0" applyNumberFormat="1" applyFont="1" applyAlignment="1">
      <alignment horizontal="right"/>
    </xf>
    <xf numFmtId="37" fontId="7" fillId="0" borderId="2" xfId="0" applyNumberFormat="1" applyFont="1" applyBorder="1" applyAlignment="1">
      <alignment horizontal="right"/>
    </xf>
    <xf numFmtId="37" fontId="2" fillId="0" borderId="2" xfId="0" applyNumberFormat="1" applyFont="1" applyBorder="1" applyAlignment="1">
      <alignment horizontal="right"/>
    </xf>
    <xf numFmtId="37" fontId="7" fillId="0" borderId="3" xfId="0" applyNumberFormat="1" applyFont="1" applyBorder="1" applyAlignment="1">
      <alignment horizontal="right"/>
    </xf>
    <xf numFmtId="37" fontId="2" fillId="0" borderId="3" xfId="0" applyNumberFormat="1" applyFont="1" applyBorder="1" applyAlignment="1">
      <alignment horizontal="right"/>
    </xf>
    <xf numFmtId="37" fontId="7" fillId="0" borderId="0" xfId="0" applyNumberFormat="1" applyFont="1" applyAlignment="1">
      <alignment horizontal="right"/>
    </xf>
    <xf numFmtId="37" fontId="2" fillId="0" borderId="0" xfId="0" applyNumberFormat="1" applyFont="1" applyAlignment="1">
      <alignment horizontal="right"/>
    </xf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37" fontId="2" fillId="5" borderId="0" xfId="0" applyNumberFormat="1" applyFont="1" applyFill="1" applyAlignment="1">
      <alignment horizontal="right"/>
    </xf>
    <xf numFmtId="0" fontId="7" fillId="5" borderId="0" xfId="0" applyFont="1" applyFill="1"/>
    <xf numFmtId="37" fontId="3" fillId="5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37" fontId="3" fillId="0" borderId="0" xfId="0" applyNumberFormat="1" applyFont="1"/>
    <xf numFmtId="37" fontId="17" fillId="0" borderId="0" xfId="2" applyNumberFormat="1" applyFont="1" applyAlignment="1">
      <alignment horizontal="right"/>
    </xf>
    <xf numFmtId="37" fontId="17" fillId="0" borderId="0" xfId="0" applyNumberFormat="1" applyFont="1" applyAlignment="1">
      <alignment horizontal="right"/>
    </xf>
    <xf numFmtId="37" fontId="18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37" fontId="16" fillId="0" borderId="2" xfId="0" applyNumberFormat="1" applyFont="1" applyBorder="1" applyAlignment="1">
      <alignment horizontal="right"/>
    </xf>
    <xf numFmtId="0" fontId="14" fillId="3" borderId="0" xfId="0" applyFont="1" applyFill="1"/>
    <xf numFmtId="5" fontId="3" fillId="0" borderId="0" xfId="0" applyNumberFormat="1" applyFont="1"/>
    <xf numFmtId="5" fontId="2" fillId="0" borderId="2" xfId="0" applyNumberFormat="1" applyFont="1" applyBorder="1"/>
    <xf numFmtId="5" fontId="3" fillId="0" borderId="2" xfId="0" applyNumberFormat="1" applyFont="1" applyBorder="1"/>
    <xf numFmtId="0" fontId="0" fillId="0" borderId="0" xfId="0" applyAlignment="1">
      <alignment horizontal="center"/>
    </xf>
    <xf numFmtId="5" fontId="0" fillId="0" borderId="0" xfId="0" applyNumberFormat="1"/>
    <xf numFmtId="5" fontId="19" fillId="0" borderId="0" xfId="0" applyNumberFormat="1" applyFont="1"/>
    <xf numFmtId="37" fontId="19" fillId="0" borderId="0" xfId="0" applyNumberFormat="1" applyFont="1"/>
    <xf numFmtId="0" fontId="20" fillId="0" borderId="0" xfId="0" applyFont="1"/>
    <xf numFmtId="0" fontId="0" fillId="0" borderId="0" xfId="0" quotePrefix="1"/>
    <xf numFmtId="37" fontId="17" fillId="0" borderId="0" xfId="0" applyNumberFormat="1" applyFont="1"/>
    <xf numFmtId="37" fontId="21" fillId="0" borderId="0" xfId="0" applyNumberFormat="1" applyFont="1"/>
    <xf numFmtId="5" fontId="21" fillId="0" borderId="0" xfId="0" applyNumberFormat="1" applyFont="1"/>
    <xf numFmtId="2" fontId="0" fillId="0" borderId="0" xfId="0" applyNumberFormat="1"/>
    <xf numFmtId="0" fontId="2" fillId="0" borderId="7" xfId="0" applyFont="1" applyBorder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168" fontId="19" fillId="3" borderId="0" xfId="3" applyNumberFormat="1" applyFont="1" applyFill="1"/>
    <xf numFmtId="0" fontId="9" fillId="0" borderId="0" xfId="0" applyFont="1"/>
    <xf numFmtId="0" fontId="25" fillId="0" borderId="0" xfId="0" applyFont="1"/>
    <xf numFmtId="0" fontId="16" fillId="0" borderId="0" xfId="0" applyFont="1" applyAlignment="1">
      <alignment horizontal="center"/>
    </xf>
    <xf numFmtId="168" fontId="21" fillId="0" borderId="0" xfId="0" applyNumberFormat="1" applyFont="1"/>
    <xf numFmtId="0" fontId="21" fillId="0" borderId="0" xfId="0" applyFont="1"/>
    <xf numFmtId="0" fontId="19" fillId="0" borderId="0" xfId="0" applyFont="1"/>
    <xf numFmtId="169" fontId="19" fillId="0" borderId="0" xfId="3" applyNumberFormat="1" applyFont="1"/>
    <xf numFmtId="10" fontId="0" fillId="0" borderId="0" xfId="0" applyNumberFormat="1"/>
    <xf numFmtId="167" fontId="0" fillId="0" borderId="0" xfId="0" applyNumberFormat="1"/>
    <xf numFmtId="7" fontId="21" fillId="0" borderId="0" xfId="0" applyNumberFormat="1" applyFont="1"/>
    <xf numFmtId="7" fontId="19" fillId="0" borderId="0" xfId="0" applyNumberFormat="1" applyFont="1"/>
    <xf numFmtId="5" fontId="2" fillId="0" borderId="0" xfId="0" applyNumberFormat="1" applyFont="1"/>
    <xf numFmtId="10" fontId="2" fillId="0" borderId="2" xfId="0" applyNumberFormat="1" applyFont="1" applyBorder="1"/>
    <xf numFmtId="0" fontId="2" fillId="0" borderId="0" xfId="0" applyFont="1" applyAlignment="1">
      <alignment horizontal="left" indent="1"/>
    </xf>
    <xf numFmtId="170" fontId="19" fillId="0" borderId="0" xfId="0" applyNumberFormat="1" applyFont="1"/>
    <xf numFmtId="167" fontId="19" fillId="0" borderId="0" xfId="0" applyNumberFormat="1" applyFont="1"/>
    <xf numFmtId="5" fontId="11" fillId="0" borderId="0" xfId="0" applyNumberFormat="1" applyFont="1"/>
    <xf numFmtId="0" fontId="11" fillId="0" borderId="0" xfId="0" applyFont="1"/>
    <xf numFmtId="37" fontId="11" fillId="0" borderId="0" xfId="0" applyNumberFormat="1" applyFont="1"/>
    <xf numFmtId="5" fontId="17" fillId="0" borderId="0" xfId="0" applyNumberFormat="1" applyFont="1"/>
    <xf numFmtId="5" fontId="26" fillId="0" borderId="2" xfId="0" applyNumberFormat="1" applyFont="1" applyBorder="1"/>
    <xf numFmtId="5" fontId="27" fillId="0" borderId="0" xfId="0" applyNumberFormat="1" applyFont="1"/>
    <xf numFmtId="5" fontId="16" fillId="0" borderId="2" xfId="0" applyNumberFormat="1" applyFont="1" applyBorder="1"/>
    <xf numFmtId="0" fontId="13" fillId="6" borderId="0" xfId="0" applyFont="1" applyFill="1" applyAlignment="1">
      <alignment horizontal="center"/>
    </xf>
    <xf numFmtId="37" fontId="21" fillId="0" borderId="1" xfId="0" applyNumberFormat="1" applyFont="1" applyBorder="1"/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7" fontId="2" fillId="0" borderId="0" xfId="0" applyNumberFormat="1" applyFont="1"/>
    <xf numFmtId="167" fontId="28" fillId="0" borderId="0" xfId="0" applyNumberFormat="1" applyFont="1"/>
    <xf numFmtId="167" fontId="15" fillId="0" borderId="8" xfId="0" applyNumberFormat="1" applyFont="1" applyBorder="1" applyAlignment="1">
      <alignment horizontal="center"/>
    </xf>
    <xf numFmtId="167" fontId="17" fillId="0" borderId="8" xfId="0" applyNumberFormat="1" applyFont="1" applyBorder="1" applyAlignment="1">
      <alignment horizontal="center"/>
    </xf>
    <xf numFmtId="167" fontId="17" fillId="0" borderId="9" xfId="0" applyNumberFormat="1" applyFont="1" applyBorder="1" applyAlignment="1">
      <alignment horizontal="center"/>
    </xf>
    <xf numFmtId="167" fontId="15" fillId="0" borderId="9" xfId="0" applyNumberFormat="1" applyFont="1" applyBorder="1" applyAlignment="1">
      <alignment horizontal="center"/>
    </xf>
    <xf numFmtId="7" fontId="21" fillId="0" borderId="2" xfId="0" applyNumberFormat="1" applyFont="1" applyBorder="1" applyAlignment="1">
      <alignment horizontal="center"/>
    </xf>
    <xf numFmtId="9" fontId="0" fillId="0" borderId="0" xfId="3" applyFont="1"/>
    <xf numFmtId="9" fontId="0" fillId="6" borderId="0" xfId="3" applyFont="1" applyFill="1"/>
    <xf numFmtId="2" fontId="0" fillId="6" borderId="0" xfId="0" applyNumberFormat="1" applyFill="1"/>
    <xf numFmtId="2" fontId="0" fillId="3" borderId="0" xfId="0" applyNumberFormat="1" applyFill="1"/>
    <xf numFmtId="9" fontId="0" fillId="3" borderId="0" xfId="3" applyFont="1" applyFill="1"/>
    <xf numFmtId="170" fontId="11" fillId="0" borderId="8" xfId="0" applyNumberFormat="1" applyFont="1" applyBorder="1"/>
    <xf numFmtId="167" fontId="3" fillId="0" borderId="9" xfId="0" applyNumberFormat="1" applyFont="1" applyBorder="1"/>
    <xf numFmtId="7" fontId="21" fillId="0" borderId="2" xfId="0" applyNumberFormat="1" applyFont="1" applyBorder="1"/>
    <xf numFmtId="44" fontId="3" fillId="0" borderId="0" xfId="0" applyNumberFormat="1" applyFont="1"/>
    <xf numFmtId="10" fontId="19" fillId="3" borderId="0" xfId="3" applyNumberFormat="1" applyFont="1" applyFill="1" applyAlignment="1">
      <alignment horizontal="center"/>
    </xf>
    <xf numFmtId="0" fontId="18" fillId="3" borderId="10" xfId="0" applyFont="1" applyFill="1" applyBorder="1" applyAlignment="1">
      <alignment horizontal="center"/>
    </xf>
    <xf numFmtId="0" fontId="2" fillId="0" borderId="8" xfId="0" applyFont="1" applyBorder="1"/>
    <xf numFmtId="5" fontId="2" fillId="0" borderId="3" xfId="0" applyNumberFormat="1" applyFont="1" applyBorder="1"/>
    <xf numFmtId="0" fontId="2" fillId="0" borderId="11" xfId="0" applyFont="1" applyBorder="1"/>
    <xf numFmtId="5" fontId="2" fillId="0" borderId="11" xfId="0" applyNumberFormat="1" applyFont="1" applyBorder="1"/>
    <xf numFmtId="165" fontId="19" fillId="0" borderId="0" xfId="1" applyNumberFormat="1" applyFont="1"/>
    <xf numFmtId="164" fontId="19" fillId="0" borderId="0" xfId="2" applyNumberFormat="1" applyFont="1"/>
    <xf numFmtId="37" fontId="19" fillId="0" borderId="0" xfId="2" applyNumberFormat="1" applyFont="1"/>
    <xf numFmtId="5" fontId="2" fillId="0" borderId="1" xfId="0" applyNumberFormat="1" applyFont="1" applyBorder="1"/>
    <xf numFmtId="168" fontId="17" fillId="0" borderId="0" xfId="0" applyNumberFormat="1" applyFont="1"/>
    <xf numFmtId="165" fontId="16" fillId="0" borderId="0" xfId="1" applyNumberFormat="1" applyFont="1"/>
    <xf numFmtId="0" fontId="0" fillId="0" borderId="8" xfId="0" applyBorder="1"/>
    <xf numFmtId="5" fontId="2" fillId="0" borderId="8" xfId="0" applyNumberFormat="1" applyFont="1" applyBorder="1"/>
    <xf numFmtId="0" fontId="16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168" fontId="27" fillId="7" borderId="0" xfId="0" applyNumberFormat="1" applyFont="1" applyFill="1"/>
    <xf numFmtId="168" fontId="19" fillId="0" borderId="0" xfId="3" applyNumberFormat="1" applyFont="1" applyFill="1"/>
    <xf numFmtId="7" fontId="0" fillId="0" borderId="0" xfId="0" applyNumberFormat="1"/>
    <xf numFmtId="0" fontId="2" fillId="0" borderId="12" xfId="0" applyFont="1" applyBorder="1"/>
    <xf numFmtId="168" fontId="0" fillId="0" borderId="2" xfId="3" applyNumberFormat="1" applyFont="1" applyBorder="1"/>
    <xf numFmtId="168" fontId="0" fillId="0" borderId="13" xfId="3" applyNumberFormat="1" applyFont="1" applyBorder="1"/>
    <xf numFmtId="0" fontId="0" fillId="0" borderId="14" xfId="0" applyBorder="1" applyAlignment="1">
      <alignment horizontal="left" indent="1"/>
    </xf>
    <xf numFmtId="168" fontId="0" fillId="0" borderId="0" xfId="3" applyNumberFormat="1" applyFont="1" applyBorder="1"/>
    <xf numFmtId="168" fontId="0" fillId="0" borderId="0" xfId="3" applyNumberFormat="1" applyFont="1" applyFill="1" applyBorder="1"/>
    <xf numFmtId="168" fontId="27" fillId="7" borderId="9" xfId="0" applyNumberFormat="1" applyFont="1" applyFill="1" applyBorder="1"/>
    <xf numFmtId="0" fontId="2" fillId="0" borderId="14" xfId="0" applyFont="1" applyBorder="1"/>
    <xf numFmtId="168" fontId="21" fillId="0" borderId="9" xfId="0" applyNumberFormat="1" applyFont="1" applyBorder="1"/>
    <xf numFmtId="0" fontId="0" fillId="0" borderId="15" xfId="0" applyBorder="1" applyAlignment="1">
      <alignment horizontal="left" indent="1"/>
    </xf>
    <xf numFmtId="168" fontId="0" fillId="0" borderId="1" xfId="3" applyNumberFormat="1" applyFont="1" applyFill="1" applyBorder="1"/>
    <xf numFmtId="168" fontId="27" fillId="7" borderId="1" xfId="0" applyNumberFormat="1" applyFont="1" applyFill="1" applyBorder="1"/>
    <xf numFmtId="168" fontId="27" fillId="7" borderId="16" xfId="0" applyNumberFormat="1" applyFont="1" applyFill="1" applyBorder="1"/>
    <xf numFmtId="44" fontId="31" fillId="0" borderId="0" xfId="0" applyNumberFormat="1" applyFont="1"/>
    <xf numFmtId="0" fontId="29" fillId="2" borderId="4" xfId="0" applyFont="1" applyFill="1" applyBorder="1"/>
    <xf numFmtId="171" fontId="2" fillId="2" borderId="0" xfId="0" applyNumberFormat="1" applyFont="1" applyFill="1"/>
    <xf numFmtId="171" fontId="9" fillId="4" borderId="0" xfId="0" applyNumberFormat="1" applyFont="1" applyFill="1"/>
    <xf numFmtId="0" fontId="31" fillId="0" borderId="11" xfId="0" applyFont="1" applyBorder="1" applyAlignment="1">
      <alignment horizontal="center"/>
    </xf>
    <xf numFmtId="0" fontId="29" fillId="2" borderId="5" xfId="0" applyFont="1" applyFill="1" applyBorder="1" applyAlignment="1">
      <alignment horizontal="left"/>
    </xf>
    <xf numFmtId="0" fontId="29" fillId="2" borderId="6" xfId="0" applyFont="1" applyFill="1" applyBorder="1" applyAlignment="1">
      <alignment horizontal="left"/>
    </xf>
    <xf numFmtId="0" fontId="29" fillId="2" borderId="7" xfId="0" applyFont="1" applyFill="1" applyBorder="1" applyAlignment="1">
      <alignment horizontal="left"/>
    </xf>
    <xf numFmtId="0" fontId="30" fillId="2" borderId="5" xfId="0" applyFont="1" applyFill="1" applyBorder="1" applyAlignment="1">
      <alignment horizontal="left"/>
    </xf>
    <xf numFmtId="0" fontId="30" fillId="2" borderId="7" xfId="0" applyFont="1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30" fillId="2" borderId="6" xfId="0" applyFont="1" applyFill="1" applyBorder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fgColor auto="1"/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fgColor auto="1"/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530EC"/>
      <color rgb="FF0F21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&amp; Gross Profit Margin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and Graphs'!$A$4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and Graphs'!$B$2:$K$2</c:f>
              <c:numCache>
                <c:formatCode>yyyy</c:formatCode>
                <c:ptCount val="10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47118</c:v>
                </c:pt>
                <c:pt idx="9">
                  <c:v>47483</c:v>
                </c:pt>
              </c:numCache>
            </c:numRef>
          </c:cat>
          <c:val>
            <c:numRef>
              <c:f>'Charts and Graphs'!$B$4:$K$4</c:f>
              <c:numCache>
                <c:formatCode>"$"#,##0_);\("$"#,##0\)</c:formatCode>
                <c:ptCount val="10"/>
                <c:pt idx="0">
                  <c:v>31536</c:v>
                </c:pt>
                <c:pt idx="1">
                  <c:v>53823</c:v>
                </c:pt>
                <c:pt idx="2">
                  <c:v>81462</c:v>
                </c:pt>
                <c:pt idx="3">
                  <c:v>96773</c:v>
                </c:pt>
                <c:pt idx="4">
                  <c:v>97690</c:v>
                </c:pt>
                <c:pt idx="5">
                  <c:v>107036.29500000001</c:v>
                </c:pt>
                <c:pt idx="6">
                  <c:v>118379.87416200002</c:v>
                </c:pt>
                <c:pt idx="7">
                  <c:v>130647.58036560661</c:v>
                </c:pt>
                <c:pt idx="8">
                  <c:v>141748.42700774252</c:v>
                </c:pt>
                <c:pt idx="9">
                  <c:v>152860.07053172964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1-3E41-89F7-B7017FAAC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9934847"/>
        <c:axId val="409930367"/>
      </c:barChart>
      <c:lineChart>
        <c:grouping val="standard"/>
        <c:varyColors val="0"/>
        <c:ser>
          <c:idx val="1"/>
          <c:order val="1"/>
          <c:tx>
            <c:strRef>
              <c:f>'Charts and Graphs'!$A$5</c:f>
              <c:strCache>
                <c:ptCount val="1"/>
                <c:pt idx="0">
                  <c:v>Gross Profit Margin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'Charts and Graphs'!$B$2:$K$2</c:f>
              <c:numCache>
                <c:formatCode>yyyy</c:formatCode>
                <c:ptCount val="10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47118</c:v>
                </c:pt>
                <c:pt idx="9">
                  <c:v>47483</c:v>
                </c:pt>
              </c:numCache>
            </c:numRef>
          </c:cat>
          <c:val>
            <c:numRef>
              <c:f>'Charts and Graphs'!$B$5:$K$5</c:f>
              <c:numCache>
                <c:formatCode>0%</c:formatCode>
                <c:ptCount val="10"/>
                <c:pt idx="0">
                  <c:v>0.28386605783866059</c:v>
                </c:pt>
                <c:pt idx="1">
                  <c:v>0.3068762424985601</c:v>
                </c:pt>
                <c:pt idx="2">
                  <c:v>0.3019812918906975</c:v>
                </c:pt>
                <c:pt idx="3">
                  <c:v>0.2307151788205388</c:v>
                </c:pt>
                <c:pt idx="4">
                  <c:v>0.23357559627392774</c:v>
                </c:pt>
                <c:pt idx="5">
                  <c:v>0.18256971805685168</c:v>
                </c:pt>
                <c:pt idx="6">
                  <c:v>0.18937248197167086</c:v>
                </c:pt>
                <c:pt idx="7">
                  <c:v>0.20676681686602022</c:v>
                </c:pt>
                <c:pt idx="8">
                  <c:v>0.2216654963604727</c:v>
                </c:pt>
                <c:pt idx="9">
                  <c:v>0.23454604046909205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81-3E41-89F7-B7017FAAC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814847"/>
        <c:axId val="412819327"/>
      </c:lineChart>
      <c:dateAx>
        <c:axId val="409934847"/>
        <c:scaling>
          <c:orientation val="minMax"/>
        </c:scaling>
        <c:delete val="0"/>
        <c:axPos val="b"/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30367"/>
        <c:crosses val="autoZero"/>
        <c:auto val="1"/>
        <c:lblOffset val="100"/>
        <c:baseTimeUnit val="years"/>
      </c:dateAx>
      <c:valAx>
        <c:axId val="40993036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34847"/>
        <c:crosses val="autoZero"/>
        <c:crossBetween val="between"/>
      </c:valAx>
      <c:valAx>
        <c:axId val="41281932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14847"/>
        <c:crosses val="max"/>
        <c:crossBetween val="between"/>
      </c:valAx>
      <c:dateAx>
        <c:axId val="412814847"/>
        <c:scaling>
          <c:orientation val="minMax"/>
        </c:scaling>
        <c:delete val="1"/>
        <c:axPos val="b"/>
        <c:numFmt formatCode="yyyy" sourceLinked="1"/>
        <c:majorTickMark val="out"/>
        <c:minorTickMark val="none"/>
        <c:tickLblPos val="nextTo"/>
        <c:crossAx val="412819327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</a:t>
            </a:r>
            <a:r>
              <a:rPr lang="en-US" baseline="0"/>
              <a:t>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'Charts and Graphs'!$A$7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and Graphs'!$B$2:$K$2</c:f>
              <c:numCache>
                <c:formatCode>yyyy</c:formatCode>
                <c:ptCount val="10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47118</c:v>
                </c:pt>
                <c:pt idx="9">
                  <c:v>47483</c:v>
                </c:pt>
              </c:numCache>
            </c:numRef>
          </c:cat>
          <c:val>
            <c:numRef>
              <c:f>'Charts and Graphs'!$B$7:$K$7</c:f>
              <c:numCache>
                <c:formatCode>#,##0_);\(#,##0\)</c:formatCode>
                <c:ptCount val="10"/>
                <c:pt idx="0">
                  <c:v>5943</c:v>
                </c:pt>
                <c:pt idx="1">
                  <c:v>11497</c:v>
                </c:pt>
                <c:pt idx="2">
                  <c:v>14724</c:v>
                </c:pt>
                <c:pt idx="3">
                  <c:v>13256</c:v>
                </c:pt>
                <c:pt idx="4">
                  <c:v>14923</c:v>
                </c:pt>
                <c:pt idx="5">
                  <c:v>10395.567879750008</c:v>
                </c:pt>
                <c:pt idx="6">
                  <c:v>12974.312384566669</c:v>
                </c:pt>
                <c:pt idx="7">
                  <c:v>15981.279462879826</c:v>
                </c:pt>
                <c:pt idx="8">
                  <c:v>18808.176717800641</c:v>
                </c:pt>
                <c:pt idx="9">
                  <c:v>21842.435492425459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A-D64A-B6A6-46FF25B1B65E}"/>
            </c:ext>
          </c:extLst>
        </c:ser>
        <c:ser>
          <c:idx val="1"/>
          <c:order val="1"/>
          <c:tx>
            <c:strRef>
              <c:f>'Charts and Graphs'!$A$8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'Charts and Graphs'!$B$2:$K$2</c:f>
              <c:numCache>
                <c:formatCode>yyyy</c:formatCode>
                <c:ptCount val="10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47118</c:v>
                </c:pt>
                <c:pt idx="9">
                  <c:v>47483</c:v>
                </c:pt>
              </c:numCache>
            </c:numRef>
          </c:cat>
          <c:val>
            <c:numRef>
              <c:f>'Charts and Graphs'!$B$8:$K$8</c:f>
              <c:numCache>
                <c:formatCode>#,##0_);\(#,##0\)</c:formatCode>
                <c:ptCount val="10"/>
                <c:pt idx="0">
                  <c:v>-3132</c:v>
                </c:pt>
                <c:pt idx="1">
                  <c:v>-7868</c:v>
                </c:pt>
                <c:pt idx="2">
                  <c:v>-11973</c:v>
                </c:pt>
                <c:pt idx="3">
                  <c:v>-15584</c:v>
                </c:pt>
                <c:pt idx="4">
                  <c:v>-18787</c:v>
                </c:pt>
                <c:pt idx="5">
                  <c:v>-6335.0737500000032</c:v>
                </c:pt>
                <c:pt idx="6">
                  <c:v>-13539.524290500007</c:v>
                </c:pt>
                <c:pt idx="7">
                  <c:v>-14904.913967101649</c:v>
                </c:pt>
                <c:pt idx="8">
                  <c:v>-15839.969697094637</c:v>
                </c:pt>
                <c:pt idx="9">
                  <c:v>-16952.753581771034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A-D64A-B6A6-46FF25B1B65E}"/>
            </c:ext>
          </c:extLst>
        </c:ser>
        <c:ser>
          <c:idx val="2"/>
          <c:order val="2"/>
          <c:tx>
            <c:strRef>
              <c:f>'Charts and Graphs'!$A$9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>
                <a:schemeClr val="accent1">
                  <a:alpha val="40000"/>
                </a:schemeClr>
              </a:glow>
            </a:effectLst>
          </c:spPr>
          <c:invertIfNegative val="0"/>
          <c:cat>
            <c:numRef>
              <c:f>'Charts and Graphs'!$B$2:$K$2</c:f>
              <c:numCache>
                <c:formatCode>yyyy</c:formatCode>
                <c:ptCount val="10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47118</c:v>
                </c:pt>
                <c:pt idx="9">
                  <c:v>47483</c:v>
                </c:pt>
              </c:numCache>
            </c:numRef>
          </c:cat>
          <c:val>
            <c:numRef>
              <c:f>'Charts and Graphs'!$B$9:$K$9</c:f>
              <c:numCache>
                <c:formatCode>#,##0_);\(#,##0\)</c:formatCode>
                <c:ptCount val="10"/>
                <c:pt idx="0">
                  <c:v>9973</c:v>
                </c:pt>
                <c:pt idx="1">
                  <c:v>-5203</c:v>
                </c:pt>
                <c:pt idx="2">
                  <c:v>-3527</c:v>
                </c:pt>
                <c:pt idx="3">
                  <c:v>2589</c:v>
                </c:pt>
                <c:pt idx="4">
                  <c:v>3853</c:v>
                </c:pt>
                <c:pt idx="5">
                  <c:v>-2353</c:v>
                </c:pt>
                <c:pt idx="6">
                  <c:v>-4116</c:v>
                </c:pt>
                <c:pt idx="7">
                  <c:v>-699</c:v>
                </c:pt>
                <c:pt idx="8">
                  <c:v>-243</c:v>
                </c:pt>
                <c:pt idx="9">
                  <c:v>-95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A-D64A-B6A6-46FF25B1B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overlap val="100"/>
        <c:axId val="404464831"/>
        <c:axId val="241587903"/>
      </c:barChart>
      <c:dateAx>
        <c:axId val="404464831"/>
        <c:scaling>
          <c:orientation val="minMax"/>
        </c:scaling>
        <c:delete val="0"/>
        <c:axPos val="b"/>
        <c:numFmt formatCode="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7903"/>
        <c:crosses val="autoZero"/>
        <c:auto val="1"/>
        <c:lblOffset val="100"/>
        <c:baseTimeUnit val="years"/>
      </c:dateAx>
      <c:valAx>
        <c:axId val="24158790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46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381955</xdr:colOff>
      <xdr:row>10</xdr:row>
      <xdr:rowOff>143232</xdr:rowOff>
    </xdr:from>
    <xdr:to>
      <xdr:col>5</xdr:col>
      <xdr:colOff>305564</xdr:colOff>
      <xdr:row>27</xdr:row>
      <xdr:rowOff>76390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8544AF-CA4E-8A84-78BB-57ECB072F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521367</xdr:colOff>
      <xdr:row>10</xdr:row>
      <xdr:rowOff>162332</xdr:rowOff>
    </xdr:from>
    <xdr:to>
      <xdr:col>13</xdr:col>
      <xdr:colOff>162330</xdr:colOff>
      <xdr:row>27</xdr:row>
      <xdr:rowOff>125473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F179B7-F608-34D2-741D-035E7BAEA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FED7-448A-ED40-B19F-879FB880318E}">
  <dimension ref="A1:N256"/>
  <sheetViews>
    <sheetView tabSelected="1" workbookViewId="0">
      <pane ySplit="4" topLeftCell="A154" activePane="bottomLeft" state="frozen"/>
      <selection pane="bottomLeft" activeCell="F173" sqref="F173"/>
    </sheetView>
  </sheetViews>
  <sheetFormatPr baseColWidth="10" defaultRowHeight="16" outlineLevelRow="1"/>
  <cols>
    <col min="1" max="1" width="35.5" bestFit="1" customWidth="1"/>
    <col min="2" max="2" width="13.1640625" customWidth="1"/>
    <col min="7" max="7" width="12.33203125" customWidth="1"/>
    <col min="8" max="8" width="12.1640625" customWidth="1"/>
    <col min="9" max="11" width="12.33203125" customWidth="1"/>
  </cols>
  <sheetData>
    <row r="1" spans="1:12">
      <c r="B1" s="164" t="s">
        <v>72</v>
      </c>
      <c r="C1" s="164"/>
      <c r="D1" s="164"/>
      <c r="E1" s="164"/>
      <c r="F1" s="164"/>
      <c r="G1" s="165" t="s">
        <v>73</v>
      </c>
      <c r="H1" s="165"/>
      <c r="I1" s="165"/>
      <c r="J1" s="165"/>
      <c r="K1" s="165"/>
    </row>
    <row r="2" spans="1:12">
      <c r="B2" s="21">
        <v>2020</v>
      </c>
      <c r="C2" s="21">
        <v>2021</v>
      </c>
      <c r="D2" s="21">
        <v>2022</v>
      </c>
      <c r="E2" s="21">
        <v>2023</v>
      </c>
      <c r="F2" s="21">
        <v>2024</v>
      </c>
      <c r="G2" s="22">
        <v>2025</v>
      </c>
      <c r="H2" s="22">
        <v>2026</v>
      </c>
      <c r="I2" s="22">
        <v>2027</v>
      </c>
      <c r="J2" s="22">
        <v>2028</v>
      </c>
      <c r="K2" s="22">
        <v>2029</v>
      </c>
    </row>
    <row r="3" spans="1:12" ht="17" thickBot="1">
      <c r="A3" s="98" t="str">
        <f>IF(L32=0,"OK","NOT BALANCED")</f>
        <v>OK</v>
      </c>
      <c r="B3" s="100">
        <v>-5</v>
      </c>
      <c r="C3" s="100">
        <v>-4</v>
      </c>
      <c r="D3" s="100">
        <v>-3</v>
      </c>
      <c r="E3" s="100">
        <v>-2</v>
      </c>
      <c r="F3" s="100">
        <v>-1</v>
      </c>
      <c r="G3" s="101">
        <v>1</v>
      </c>
      <c r="H3" s="100">
        <f>G3+1</f>
        <v>2</v>
      </c>
      <c r="I3" s="100">
        <f t="shared" ref="I3:K3" si="0">H3+1</f>
        <v>3</v>
      </c>
      <c r="J3" s="100">
        <f t="shared" si="0"/>
        <v>4</v>
      </c>
      <c r="K3" s="100">
        <f t="shared" si="0"/>
        <v>5</v>
      </c>
    </row>
    <row r="4" spans="1:12" ht="17" thickBot="1">
      <c r="A4" s="76" t="s">
        <v>218</v>
      </c>
      <c r="B4" s="1"/>
      <c r="C4" s="1"/>
      <c r="D4" s="1"/>
      <c r="E4" s="1"/>
      <c r="F4" s="8" t="s">
        <v>220</v>
      </c>
      <c r="G4" s="119">
        <v>2</v>
      </c>
      <c r="H4" s="77" t="str">
        <f>CHOOSE(G4,"BEAR","BASE","BULL")</f>
        <v>BASE</v>
      </c>
      <c r="I4" s="75"/>
      <c r="J4" s="75"/>
      <c r="K4" s="75"/>
    </row>
    <row r="5" spans="1:12" ht="23" thickBot="1">
      <c r="A5" s="155" t="s">
        <v>11</v>
      </c>
      <c r="B5" s="156"/>
      <c r="C5" s="156"/>
      <c r="D5" s="156"/>
      <c r="E5" s="156"/>
      <c r="F5" s="156"/>
      <c r="G5" s="156"/>
      <c r="H5" s="156"/>
      <c r="I5" s="156"/>
      <c r="J5" s="156"/>
      <c r="K5" s="157"/>
    </row>
    <row r="6" spans="1:12" outlineLevel="1">
      <c r="A6" s="1" t="s">
        <v>47</v>
      </c>
      <c r="B6" s="63"/>
      <c r="C6" s="63"/>
      <c r="D6" s="63"/>
      <c r="E6" s="63"/>
      <c r="F6" s="63"/>
      <c r="G6" s="68"/>
      <c r="H6" s="68"/>
      <c r="I6" s="68"/>
      <c r="J6" s="68"/>
      <c r="K6" s="68"/>
    </row>
    <row r="7" spans="1:12" outlineLevel="1">
      <c r="A7" t="s">
        <v>12</v>
      </c>
      <c r="B7" s="63">
        <v>19384</v>
      </c>
      <c r="C7" s="63">
        <v>17576</v>
      </c>
      <c r="D7" s="63">
        <v>16253</v>
      </c>
      <c r="E7" s="63">
        <v>16398</v>
      </c>
      <c r="F7" s="63">
        <v>16139</v>
      </c>
      <c r="G7" s="68">
        <f>G132</f>
        <v>18196.170150000002</v>
      </c>
      <c r="H7" s="68">
        <f t="shared" ref="H7:K7" si="1">H132</f>
        <v>20124.578607540006</v>
      </c>
      <c r="I7" s="68">
        <f t="shared" si="1"/>
        <v>22210.088662153124</v>
      </c>
      <c r="J7" s="68">
        <f t="shared" si="1"/>
        <v>24097.232591316231</v>
      </c>
      <c r="K7" s="68">
        <f t="shared" si="1"/>
        <v>25986.21199039404</v>
      </c>
    </row>
    <row r="8" spans="1:12" outlineLevel="1">
      <c r="A8" t="s">
        <v>185</v>
      </c>
      <c r="B8" s="63"/>
      <c r="C8" s="63"/>
      <c r="D8" s="63"/>
      <c r="E8" s="63"/>
      <c r="F8" s="63"/>
      <c r="G8" s="17">
        <f>IF(G92&gt;0,G92,0)</f>
        <v>0</v>
      </c>
      <c r="H8" s="17">
        <f t="shared" ref="H8:K8" si="2">IF(H92&gt;0,H92,0)</f>
        <v>0</v>
      </c>
      <c r="I8" s="17">
        <f t="shared" si="2"/>
        <v>0</v>
      </c>
      <c r="J8" s="17">
        <f t="shared" si="2"/>
        <v>0</v>
      </c>
      <c r="K8" s="17">
        <f t="shared" si="2"/>
        <v>0</v>
      </c>
      <c r="L8" s="17"/>
    </row>
    <row r="9" spans="1:12" outlineLevel="1">
      <c r="A9" t="s">
        <v>300</v>
      </c>
      <c r="B9" s="64">
        <v>0</v>
      </c>
      <c r="C9" s="64">
        <v>131</v>
      </c>
      <c r="D9" s="64">
        <v>5932</v>
      </c>
      <c r="E9" s="64">
        <v>12696</v>
      </c>
      <c r="F9" s="64">
        <v>20424</v>
      </c>
      <c r="G9" s="68">
        <f>G133</f>
        <v>16055.44425</v>
      </c>
      <c r="H9" s="68">
        <f t="shared" ref="H9:K12" si="3">H133</f>
        <v>17756.981124300004</v>
      </c>
      <c r="I9" s="68">
        <f t="shared" si="3"/>
        <v>19597.13705484099</v>
      </c>
      <c r="J9" s="68">
        <f t="shared" si="3"/>
        <v>21262.264051161375</v>
      </c>
      <c r="K9" s="68">
        <f t="shared" si="3"/>
        <v>22929.010579759444</v>
      </c>
    </row>
    <row r="10" spans="1:12" outlineLevel="1">
      <c r="A10" t="s">
        <v>301</v>
      </c>
      <c r="B10" s="64">
        <v>1886</v>
      </c>
      <c r="C10" s="64">
        <v>1913</v>
      </c>
      <c r="D10" s="64">
        <v>2952</v>
      </c>
      <c r="E10" s="64">
        <v>3508</v>
      </c>
      <c r="F10" s="64">
        <v>4418</v>
      </c>
      <c r="G10" s="68">
        <f>G134</f>
        <v>4388.4880950000006</v>
      </c>
      <c r="H10" s="68">
        <f t="shared" si="3"/>
        <v>4853.5748406420007</v>
      </c>
      <c r="I10" s="68">
        <f t="shared" si="3"/>
        <v>5356.5507949898711</v>
      </c>
      <c r="J10" s="68">
        <f t="shared" si="3"/>
        <v>5811.6855073174438</v>
      </c>
      <c r="K10" s="68">
        <f t="shared" si="3"/>
        <v>6267.262891800915</v>
      </c>
    </row>
    <row r="11" spans="1:12" outlineLevel="1">
      <c r="A11" t="s">
        <v>14</v>
      </c>
      <c r="B11" s="64">
        <v>4101</v>
      </c>
      <c r="C11" s="64">
        <v>5757</v>
      </c>
      <c r="D11" s="64">
        <v>12839</v>
      </c>
      <c r="E11" s="64">
        <v>13626</v>
      </c>
      <c r="F11" s="64">
        <v>12017</v>
      </c>
      <c r="G11" s="68">
        <f>G135</f>
        <v>16186.521128</v>
      </c>
      <c r="H11" s="68">
        <f t="shared" si="3"/>
        <v>17752.96696164288</v>
      </c>
      <c r="I11" s="68">
        <f t="shared" si="3"/>
        <v>19172.289267800075</v>
      </c>
      <c r="J11" s="68">
        <f t="shared" si="3"/>
        <v>20410.622941699683</v>
      </c>
      <c r="K11" s="68">
        <f t="shared" si="3"/>
        <v>21646.359054896966</v>
      </c>
    </row>
    <row r="12" spans="1:12" outlineLevel="1">
      <c r="A12" t="s">
        <v>302</v>
      </c>
      <c r="B12" s="64">
        <v>1346</v>
      </c>
      <c r="C12" s="64">
        <v>1723</v>
      </c>
      <c r="D12" s="64">
        <v>2941</v>
      </c>
      <c r="E12" s="64">
        <v>3388</v>
      </c>
      <c r="F12" s="64">
        <v>5362</v>
      </c>
      <c r="G12" s="68">
        <f>G136</f>
        <v>4281.4518000000007</v>
      </c>
      <c r="H12" s="68">
        <f t="shared" si="3"/>
        <v>4735.1949664800013</v>
      </c>
      <c r="I12" s="68">
        <f t="shared" si="3"/>
        <v>5225.9032146242644</v>
      </c>
      <c r="J12" s="68">
        <f t="shared" si="3"/>
        <v>5669.9370803097008</v>
      </c>
      <c r="K12" s="68">
        <f t="shared" si="3"/>
        <v>6114.4028212691856</v>
      </c>
    </row>
    <row r="13" spans="1:12" outlineLevel="1">
      <c r="A13" t="s">
        <v>147</v>
      </c>
      <c r="B13" s="64">
        <v>12747</v>
      </c>
      <c r="C13" s="64">
        <v>18884</v>
      </c>
      <c r="D13" s="64">
        <v>23548</v>
      </c>
      <c r="E13" s="64">
        <v>29725</v>
      </c>
      <c r="F13" s="64">
        <v>35836</v>
      </c>
      <c r="G13" s="68">
        <f>G37</f>
        <v>40652.633275</v>
      </c>
      <c r="H13" s="68">
        <f t="shared" ref="H13:K13" si="4">H37</f>
        <v>45979.727612290008</v>
      </c>
      <c r="I13" s="68">
        <f t="shared" si="4"/>
        <v>51858.868728742309</v>
      </c>
      <c r="J13" s="68">
        <f t="shared" si="4"/>
        <v>58237.547944090729</v>
      </c>
      <c r="K13" s="68">
        <f t="shared" si="4"/>
        <v>65116.251118018568</v>
      </c>
    </row>
    <row r="14" spans="1:12" outlineLevel="1">
      <c r="A14" t="s">
        <v>58</v>
      </c>
      <c r="B14" s="64">
        <v>207</v>
      </c>
      <c r="C14" s="64">
        <v>200</v>
      </c>
      <c r="D14" s="64">
        <v>194</v>
      </c>
      <c r="E14" s="64">
        <v>253</v>
      </c>
      <c r="F14" s="64">
        <v>244</v>
      </c>
      <c r="G14" s="64">
        <v>244</v>
      </c>
      <c r="H14" s="64">
        <v>244</v>
      </c>
      <c r="I14" s="64">
        <v>244</v>
      </c>
      <c r="J14" s="64">
        <v>244</v>
      </c>
      <c r="K14" s="64">
        <v>244</v>
      </c>
    </row>
    <row r="15" spans="1:12" outlineLevel="1">
      <c r="A15" t="s">
        <v>303</v>
      </c>
      <c r="B15" s="64">
        <v>12477</v>
      </c>
      <c r="C15" s="64">
        <v>15947</v>
      </c>
      <c r="D15" s="64">
        <v>17679</v>
      </c>
      <c r="E15" s="64">
        <v>27024</v>
      </c>
      <c r="F15" s="64">
        <v>27630</v>
      </c>
      <c r="G15" s="64">
        <f>F15</f>
        <v>27630</v>
      </c>
      <c r="H15" s="64">
        <f t="shared" ref="H15:K15" si="5">G15</f>
        <v>27630</v>
      </c>
      <c r="I15" s="64">
        <f t="shared" si="5"/>
        <v>27630</v>
      </c>
      <c r="J15" s="64">
        <f t="shared" si="5"/>
        <v>27630</v>
      </c>
      <c r="K15" s="64">
        <f t="shared" si="5"/>
        <v>27630</v>
      </c>
    </row>
    <row r="16" spans="1:12" ht="17" outlineLevel="1" thickBot="1">
      <c r="A16" s="24" t="s">
        <v>16</v>
      </c>
      <c r="B16" s="121">
        <v>52148</v>
      </c>
      <c r="C16" s="121">
        <v>62131</v>
      </c>
      <c r="D16" s="121">
        <v>82338</v>
      </c>
      <c r="E16" s="121">
        <v>106618</v>
      </c>
      <c r="F16" s="121">
        <v>122070</v>
      </c>
      <c r="G16" s="121">
        <f>SUM(G7:G15)</f>
        <v>127634.708698</v>
      </c>
      <c r="H16" s="121">
        <f t="shared" ref="H16:K16" si="6">SUM(H7:H15)</f>
        <v>139077.0241128949</v>
      </c>
      <c r="I16" s="121">
        <f t="shared" si="6"/>
        <v>151294.83772315065</v>
      </c>
      <c r="J16" s="121">
        <f t="shared" si="6"/>
        <v>163363.29011589516</v>
      </c>
      <c r="K16" s="121">
        <f t="shared" si="6"/>
        <v>175933.49845613912</v>
      </c>
    </row>
    <row r="17" spans="1:12" ht="17" outlineLevel="1" thickTop="1">
      <c r="A17" s="1"/>
      <c r="B17" s="86"/>
      <c r="C17" s="86"/>
      <c r="D17" s="86"/>
      <c r="E17" s="86"/>
      <c r="F17" s="86"/>
      <c r="G17" s="86"/>
      <c r="H17" s="86"/>
      <c r="I17" s="86"/>
      <c r="J17" s="86"/>
      <c r="K17" s="86"/>
    </row>
    <row r="18" spans="1:12" outlineLevel="1">
      <c r="A18" s="1" t="s">
        <v>62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</row>
    <row r="19" spans="1:12" outlineLevel="1">
      <c r="A19" t="s">
        <v>149</v>
      </c>
      <c r="B19" s="64">
        <v>10658</v>
      </c>
      <c r="C19" s="64">
        <v>16669</v>
      </c>
      <c r="D19" s="64">
        <v>23460</v>
      </c>
      <c r="E19" s="64">
        <v>23511</v>
      </c>
      <c r="F19" s="64">
        <v>23197</v>
      </c>
      <c r="G19" s="68">
        <f>G138</f>
        <v>27123.359728000003</v>
      </c>
      <c r="H19" s="68">
        <f t="shared" ref="H19:K20" si="7">H138</f>
        <v>29748.214908698883</v>
      </c>
      <c r="I19" s="68">
        <f t="shared" si="7"/>
        <v>32126.538773070399</v>
      </c>
      <c r="J19" s="68">
        <f t="shared" si="7"/>
        <v>34201.584388794065</v>
      </c>
      <c r="K19" s="68">
        <f t="shared" si="7"/>
        <v>36272.277335232757</v>
      </c>
    </row>
    <row r="20" spans="1:12" outlineLevel="1">
      <c r="A20" t="s">
        <v>263</v>
      </c>
      <c r="B20" s="64">
        <v>1458</v>
      </c>
      <c r="C20" s="64">
        <v>1447</v>
      </c>
      <c r="D20" s="64">
        <v>1747</v>
      </c>
      <c r="E20" s="64">
        <v>2864</v>
      </c>
      <c r="F20" s="64">
        <v>3168</v>
      </c>
      <c r="G20" s="68">
        <f>G139</f>
        <v>3211.0888500000001</v>
      </c>
      <c r="H20" s="68">
        <f t="shared" si="7"/>
        <v>3551.3962248600005</v>
      </c>
      <c r="I20" s="68">
        <f t="shared" si="7"/>
        <v>3919.4274109681983</v>
      </c>
      <c r="J20" s="68">
        <f t="shared" si="7"/>
        <v>4252.4528102322756</v>
      </c>
      <c r="K20" s="68">
        <f t="shared" si="7"/>
        <v>4585.8021159518894</v>
      </c>
    </row>
    <row r="21" spans="1:12" outlineLevel="1">
      <c r="A21" t="s">
        <v>262</v>
      </c>
      <c r="B21" s="64"/>
      <c r="C21" s="64"/>
      <c r="D21" s="64"/>
      <c r="E21" s="64"/>
      <c r="F21" s="64"/>
      <c r="G21" s="17">
        <f>-IF(G92&lt;0,G92,0)</f>
        <v>349.67602024999724</v>
      </c>
      <c r="H21" s="17">
        <f t="shared" ref="H21:K21" si="8">-IF(H92&lt;0,H92,0)</f>
        <v>6959.2963837233401</v>
      </c>
      <c r="I21" s="17">
        <f t="shared" si="8"/>
        <v>8667.4409425582817</v>
      </c>
      <c r="J21" s="17">
        <f t="shared" si="8"/>
        <v>7829.3778510153843</v>
      </c>
      <c r="K21" s="17">
        <f t="shared" si="8"/>
        <v>4923.6753394387706</v>
      </c>
    </row>
    <row r="22" spans="1:12" outlineLevel="1">
      <c r="A22" t="s">
        <v>150</v>
      </c>
      <c r="B22" s="64">
        <v>11739</v>
      </c>
      <c r="C22" s="64">
        <v>6834</v>
      </c>
      <c r="D22" s="64">
        <v>3099</v>
      </c>
      <c r="E22" s="64">
        <v>5230</v>
      </c>
      <c r="F22" s="64">
        <v>8213</v>
      </c>
      <c r="G22" s="68">
        <f>G142</f>
        <v>5860</v>
      </c>
      <c r="H22" s="68">
        <f t="shared" ref="H22:K22" si="9">H142</f>
        <v>1744</v>
      </c>
      <c r="I22" s="68">
        <f t="shared" si="9"/>
        <v>1045</v>
      </c>
      <c r="J22" s="68">
        <f t="shared" si="9"/>
        <v>802</v>
      </c>
      <c r="K22" s="68">
        <f t="shared" si="9"/>
        <v>707</v>
      </c>
    </row>
    <row r="23" spans="1:12" outlineLevel="1">
      <c r="A23" t="s">
        <v>264</v>
      </c>
      <c r="B23" s="64">
        <v>4614</v>
      </c>
      <c r="C23" s="64">
        <v>5598</v>
      </c>
      <c r="D23" s="64">
        <v>8134</v>
      </c>
      <c r="E23" s="64">
        <v>11404</v>
      </c>
      <c r="F23" s="64">
        <v>13812</v>
      </c>
      <c r="G23" s="68">
        <f>G140</f>
        <v>13979.270661750003</v>
      </c>
      <c r="H23" s="68">
        <f t="shared" ref="H23:K23" si="10">H140</f>
        <v>15352.060234600982</v>
      </c>
      <c r="I23" s="68">
        <f t="shared" si="10"/>
        <v>16636.202968095484</v>
      </c>
      <c r="J23" s="68">
        <f t="shared" si="10"/>
        <v>17764.644009768715</v>
      </c>
      <c r="K23" s="68">
        <f t="shared" si="10"/>
        <v>18891.40817103018</v>
      </c>
    </row>
    <row r="24" spans="1:12" outlineLevel="1">
      <c r="A24" s="4" t="s">
        <v>17</v>
      </c>
      <c r="B24" s="59">
        <f>SUM(B19:B23)</f>
        <v>28469</v>
      </c>
      <c r="C24" s="59">
        <f t="shared" ref="C24:K24" si="11">SUM(C19:C23)</f>
        <v>30548</v>
      </c>
      <c r="D24" s="59">
        <f t="shared" si="11"/>
        <v>36440</v>
      </c>
      <c r="E24" s="59">
        <f t="shared" si="11"/>
        <v>43009</v>
      </c>
      <c r="F24" s="59">
        <f t="shared" si="11"/>
        <v>48390</v>
      </c>
      <c r="G24" s="59">
        <f t="shared" si="11"/>
        <v>50523.395259999998</v>
      </c>
      <c r="H24" s="59">
        <f t="shared" si="11"/>
        <v>57354.96775188321</v>
      </c>
      <c r="I24" s="59">
        <f t="shared" si="11"/>
        <v>62394.610094692369</v>
      </c>
      <c r="J24" s="59">
        <f t="shared" si="11"/>
        <v>64850.059059810439</v>
      </c>
      <c r="K24" s="59">
        <f t="shared" si="11"/>
        <v>65380.162961653594</v>
      </c>
    </row>
    <row r="25" spans="1:12" outlineLevel="1">
      <c r="A25" s="1" t="s">
        <v>307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</row>
    <row r="26" spans="1:12" outlineLevel="1">
      <c r="A26" t="s">
        <v>304</v>
      </c>
      <c r="B26" s="64">
        <v>27261</v>
      </c>
      <c r="C26" s="64">
        <v>29804</v>
      </c>
      <c r="D26" s="64">
        <v>32180</v>
      </c>
      <c r="E26" s="64">
        <v>34895</v>
      </c>
      <c r="F26" s="64">
        <v>38374</v>
      </c>
      <c r="G26" s="64">
        <f>F26</f>
        <v>38374</v>
      </c>
      <c r="H26" s="64">
        <f t="shared" ref="H26:K27" si="12">G26</f>
        <v>38374</v>
      </c>
      <c r="I26" s="64">
        <f t="shared" si="12"/>
        <v>38374</v>
      </c>
      <c r="J26" s="64">
        <f t="shared" si="12"/>
        <v>38374</v>
      </c>
      <c r="K26" s="64">
        <f t="shared" si="12"/>
        <v>38374</v>
      </c>
    </row>
    <row r="27" spans="1:12" outlineLevel="1">
      <c r="A27" t="s">
        <v>305</v>
      </c>
      <c r="B27" s="64">
        <v>363</v>
      </c>
      <c r="C27" s="64">
        <v>54</v>
      </c>
      <c r="D27" s="64">
        <v>-361</v>
      </c>
      <c r="E27" s="64">
        <v>-143</v>
      </c>
      <c r="F27" s="64">
        <v>-670</v>
      </c>
      <c r="G27" s="64">
        <f>F27</f>
        <v>-670</v>
      </c>
      <c r="H27" s="64">
        <f t="shared" si="12"/>
        <v>-670</v>
      </c>
      <c r="I27" s="64">
        <f t="shared" si="12"/>
        <v>-670</v>
      </c>
      <c r="J27" s="64">
        <f t="shared" si="12"/>
        <v>-670</v>
      </c>
      <c r="K27" s="64">
        <f t="shared" si="12"/>
        <v>-670</v>
      </c>
    </row>
    <row r="28" spans="1:12" outlineLevel="1">
      <c r="A28" t="s">
        <v>306</v>
      </c>
      <c r="B28" s="64">
        <v>-5399</v>
      </c>
      <c r="C28" s="64">
        <v>331</v>
      </c>
      <c r="D28" s="64">
        <v>12885</v>
      </c>
      <c r="E28" s="64">
        <v>27882</v>
      </c>
      <c r="F28" s="64">
        <v>35209</v>
      </c>
      <c r="G28" s="68">
        <f>G59</f>
        <v>38640.313438000005</v>
      </c>
      <c r="H28" s="68">
        <f t="shared" ref="H28:K28" si="13">H59</f>
        <v>43251.056361011695</v>
      </c>
      <c r="I28" s="68">
        <f t="shared" si="13"/>
        <v>50429.227628458269</v>
      </c>
      <c r="J28" s="68">
        <f t="shared" si="13"/>
        <v>60042.231056084711</v>
      </c>
      <c r="K28" s="68">
        <f t="shared" si="13"/>
        <v>72082.335494485509</v>
      </c>
    </row>
    <row r="29" spans="1:12" outlineLevel="1">
      <c r="A29" t="s">
        <v>15</v>
      </c>
      <c r="B29" s="64">
        <v>1454</v>
      </c>
      <c r="C29" s="64">
        <v>1394</v>
      </c>
      <c r="D29" s="64">
        <v>1194</v>
      </c>
      <c r="E29" s="64">
        <v>975</v>
      </c>
      <c r="F29" s="64">
        <v>767</v>
      </c>
      <c r="G29" s="64">
        <f>F29</f>
        <v>767</v>
      </c>
      <c r="H29" s="64">
        <f t="shared" ref="H29:K29" si="14">G29</f>
        <v>767</v>
      </c>
      <c r="I29" s="64">
        <f t="shared" si="14"/>
        <v>767</v>
      </c>
      <c r="J29" s="64">
        <f t="shared" si="14"/>
        <v>767</v>
      </c>
      <c r="K29" s="64">
        <f t="shared" si="14"/>
        <v>767</v>
      </c>
    </row>
    <row r="30" spans="1:12" outlineLevel="1">
      <c r="A30" s="120" t="s">
        <v>307</v>
      </c>
      <c r="B30" s="59">
        <f>SUM(B26:B29)</f>
        <v>23679</v>
      </c>
      <c r="C30" s="59">
        <f t="shared" ref="C30:K30" si="15">SUM(C26:C29)</f>
        <v>31583</v>
      </c>
      <c r="D30" s="59">
        <f t="shared" si="15"/>
        <v>45898</v>
      </c>
      <c r="E30" s="59">
        <f t="shared" si="15"/>
        <v>63609</v>
      </c>
      <c r="F30" s="59">
        <f t="shared" si="15"/>
        <v>73680</v>
      </c>
      <c r="G30" s="59">
        <f t="shared" si="15"/>
        <v>77111.313438000012</v>
      </c>
      <c r="H30" s="59">
        <f t="shared" si="15"/>
        <v>81722.056361011695</v>
      </c>
      <c r="I30" s="59">
        <f t="shared" si="15"/>
        <v>88900.227628458262</v>
      </c>
      <c r="J30" s="59">
        <f t="shared" si="15"/>
        <v>98513.231056084711</v>
      </c>
      <c r="K30" s="59">
        <f t="shared" si="15"/>
        <v>110553.33549448551</v>
      </c>
    </row>
    <row r="31" spans="1:12" ht="17" outlineLevel="1" thickBot="1">
      <c r="A31" s="24" t="s">
        <v>308</v>
      </c>
      <c r="B31" s="121">
        <f>B24+B30</f>
        <v>52148</v>
      </c>
      <c r="C31" s="121">
        <f t="shared" ref="C31:K31" si="16">C24+C30</f>
        <v>62131</v>
      </c>
      <c r="D31" s="121">
        <f t="shared" si="16"/>
        <v>82338</v>
      </c>
      <c r="E31" s="121">
        <f t="shared" si="16"/>
        <v>106618</v>
      </c>
      <c r="F31" s="121">
        <f t="shared" si="16"/>
        <v>122070</v>
      </c>
      <c r="G31" s="121">
        <f t="shared" si="16"/>
        <v>127634.708698</v>
      </c>
      <c r="H31" s="121">
        <f t="shared" si="16"/>
        <v>139077.0241128949</v>
      </c>
      <c r="I31" s="121">
        <f t="shared" si="16"/>
        <v>151294.83772315062</v>
      </c>
      <c r="J31" s="121">
        <f t="shared" si="16"/>
        <v>163363.29011589516</v>
      </c>
      <c r="K31" s="121">
        <f t="shared" si="16"/>
        <v>175933.49845613912</v>
      </c>
    </row>
    <row r="32" spans="1:12" ht="17" outlineLevel="1" thickTop="1">
      <c r="A32" s="65" t="s">
        <v>155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/>
      <c r="H32" s="11">
        <f t="shared" ref="H32:K32" si="17">H16-H31</f>
        <v>0</v>
      </c>
      <c r="I32" s="11">
        <f t="shared" si="17"/>
        <v>0</v>
      </c>
      <c r="J32" s="11">
        <f t="shared" si="17"/>
        <v>0</v>
      </c>
      <c r="K32" s="11">
        <f t="shared" si="17"/>
        <v>0</v>
      </c>
      <c r="L32" s="11">
        <f>SUM(B32:K32)</f>
        <v>0</v>
      </c>
    </row>
    <row r="33" spans="1:11" outlineLevel="1"/>
    <row r="34" spans="1:11" outlineLevel="1">
      <c r="A34" t="s">
        <v>186</v>
      </c>
      <c r="G34" s="69">
        <f>F37</f>
        <v>35836</v>
      </c>
      <c r="H34" s="69">
        <f t="shared" ref="H34:K34" si="18">G37</f>
        <v>40652.633275</v>
      </c>
      <c r="I34" s="69">
        <f t="shared" si="18"/>
        <v>45979.727612290008</v>
      </c>
      <c r="J34" s="69">
        <f t="shared" si="18"/>
        <v>51858.868728742309</v>
      </c>
      <c r="K34" s="69">
        <f t="shared" si="18"/>
        <v>58237.547944090729</v>
      </c>
    </row>
    <row r="35" spans="1:11" outlineLevel="1">
      <c r="A35" s="66" t="s">
        <v>187</v>
      </c>
      <c r="G35" s="68">
        <f>+G143</f>
        <v>10703.629500000003</v>
      </c>
      <c r="H35" s="68">
        <f t="shared" ref="H35:K35" si="19">+H143</f>
        <v>11837.987416200003</v>
      </c>
      <c r="I35" s="68">
        <f t="shared" si="19"/>
        <v>13064.758036560663</v>
      </c>
      <c r="J35" s="68">
        <f t="shared" si="19"/>
        <v>14174.842700774252</v>
      </c>
      <c r="K35" s="68">
        <f t="shared" si="19"/>
        <v>15286.007053172965</v>
      </c>
    </row>
    <row r="36" spans="1:11" outlineLevel="1">
      <c r="A36" s="66" t="s">
        <v>188</v>
      </c>
      <c r="G36" s="68">
        <f>G126</f>
        <v>5886.9962250000008</v>
      </c>
      <c r="H36" s="68">
        <f t="shared" ref="H36:K36" si="20">H126</f>
        <v>6510.8930789100013</v>
      </c>
      <c r="I36" s="68">
        <f t="shared" si="20"/>
        <v>7185.616920108364</v>
      </c>
      <c r="J36" s="68">
        <f t="shared" si="20"/>
        <v>7796.1634854258382</v>
      </c>
      <c r="K36" s="68">
        <f t="shared" si="20"/>
        <v>8407.3038792451298</v>
      </c>
    </row>
    <row r="37" spans="1:11" outlineLevel="1">
      <c r="A37" s="1" t="s">
        <v>189</v>
      </c>
      <c r="F37" s="95">
        <f>F13</f>
        <v>35836</v>
      </c>
      <c r="G37" s="97">
        <f>G34+G35-G36</f>
        <v>40652.633275</v>
      </c>
      <c r="H37" s="97">
        <f t="shared" ref="H37:K37" si="21">H34+H35-H36</f>
        <v>45979.727612290008</v>
      </c>
      <c r="I37" s="97">
        <f t="shared" si="21"/>
        <v>51858.868728742309</v>
      </c>
      <c r="J37" s="97">
        <f t="shared" si="21"/>
        <v>58237.547944090729</v>
      </c>
      <c r="K37" s="97">
        <f t="shared" si="21"/>
        <v>65116.251118018568</v>
      </c>
    </row>
    <row r="38" spans="1:11" ht="17" thickBot="1"/>
    <row r="39" spans="1:11" ht="23" thickBot="1">
      <c r="A39" s="155" t="s">
        <v>0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7"/>
    </row>
    <row r="40" spans="1:11" outlineLevel="1">
      <c r="A40" t="s">
        <v>85</v>
      </c>
      <c r="B40" s="94">
        <v>31536</v>
      </c>
      <c r="C40" s="94">
        <v>53823</v>
      </c>
      <c r="D40" s="94">
        <v>81462</v>
      </c>
      <c r="E40" s="94">
        <v>96773</v>
      </c>
      <c r="F40" s="94">
        <v>97690</v>
      </c>
      <c r="G40" s="69">
        <f>G124</f>
        <v>107036.29500000001</v>
      </c>
      <c r="H40" s="69">
        <f t="shared" ref="H40:K40" si="22">H124</f>
        <v>118379.87416200002</v>
      </c>
      <c r="I40" s="69">
        <f t="shared" si="22"/>
        <v>130647.58036560661</v>
      </c>
      <c r="J40" s="69">
        <f t="shared" si="22"/>
        <v>141748.42700774252</v>
      </c>
      <c r="K40" s="69">
        <f t="shared" si="22"/>
        <v>152860.07053172964</v>
      </c>
    </row>
    <row r="41" spans="1:11" outlineLevel="1">
      <c r="A41" t="s">
        <v>309</v>
      </c>
      <c r="B41" s="67">
        <v>22584</v>
      </c>
      <c r="C41" s="67">
        <v>37306</v>
      </c>
      <c r="D41" s="67">
        <v>56862</v>
      </c>
      <c r="E41" s="67">
        <v>74446</v>
      </c>
      <c r="F41" s="67">
        <v>74872</v>
      </c>
      <c r="G41" s="68">
        <f>G125</f>
        <v>87494.708800000008</v>
      </c>
      <c r="H41" s="68">
        <f t="shared" ref="H41:K41" si="23">H125</f>
        <v>95961.983576448009</v>
      </c>
      <c r="I41" s="68">
        <f t="shared" si="23"/>
        <v>103633.99604216257</v>
      </c>
      <c r="J41" s="68">
        <f t="shared" si="23"/>
        <v>110327.69157675504</v>
      </c>
      <c r="K41" s="68">
        <f t="shared" si="23"/>
        <v>117007.34624268631</v>
      </c>
    </row>
    <row r="42" spans="1:11" outlineLevel="1">
      <c r="A42" s="59" t="s">
        <v>96</v>
      </c>
      <c r="B42" s="59">
        <v>8952</v>
      </c>
      <c r="C42" s="59">
        <v>16517</v>
      </c>
      <c r="D42" s="59">
        <v>24600</v>
      </c>
      <c r="E42" s="59">
        <v>22327</v>
      </c>
      <c r="F42" s="59">
        <v>22818</v>
      </c>
      <c r="G42" s="59">
        <f>G40-G41</f>
        <v>19541.586200000005</v>
      </c>
      <c r="H42" s="59">
        <f>H40-H41</f>
        <v>22417.890585552013</v>
      </c>
      <c r="I42" s="59">
        <f>I40-I41</f>
        <v>27013.58432344404</v>
      </c>
      <c r="J42" s="59">
        <f>J40-J41</f>
        <v>31420.735430987479</v>
      </c>
      <c r="K42" s="59">
        <f>K40-K41</f>
        <v>35852.724289043326</v>
      </c>
    </row>
    <row r="43" spans="1:11" outlineLevel="1">
      <c r="A43" t="s">
        <v>157</v>
      </c>
      <c r="B43" s="67">
        <v>1491</v>
      </c>
      <c r="C43" s="67">
        <v>2593</v>
      </c>
      <c r="D43" s="67">
        <v>3075</v>
      </c>
      <c r="E43" s="67">
        <v>3969</v>
      </c>
      <c r="F43" s="67">
        <v>4540</v>
      </c>
      <c r="G43" s="68">
        <f>G127</f>
        <v>4816.6332750000001</v>
      </c>
      <c r="H43" s="68">
        <f t="shared" ref="H43:K44" si="24">H127</f>
        <v>5327.094337290001</v>
      </c>
      <c r="I43" s="68">
        <f t="shared" si="24"/>
        <v>5879.141116452297</v>
      </c>
      <c r="J43" s="68">
        <f t="shared" si="24"/>
        <v>6378.679215348413</v>
      </c>
      <c r="K43" s="68">
        <f t="shared" si="24"/>
        <v>6878.7031739278336</v>
      </c>
    </row>
    <row r="44" spans="1:11" outlineLevel="1">
      <c r="A44" t="s">
        <v>158</v>
      </c>
      <c r="B44" s="67">
        <v>3145</v>
      </c>
      <c r="C44" s="67">
        <v>4517</v>
      </c>
      <c r="D44" s="67">
        <v>3946</v>
      </c>
      <c r="E44" s="67">
        <v>4800</v>
      </c>
      <c r="F44" s="67">
        <v>5150</v>
      </c>
      <c r="G44" s="68">
        <f>G128</f>
        <v>5351.8147500000014</v>
      </c>
      <c r="H44" s="68">
        <f t="shared" si="24"/>
        <v>5918.9937081000016</v>
      </c>
      <c r="I44" s="68">
        <f t="shared" si="24"/>
        <v>6532.3790182803314</v>
      </c>
      <c r="J44" s="68">
        <f t="shared" si="24"/>
        <v>7087.421350387126</v>
      </c>
      <c r="K44" s="68">
        <f t="shared" si="24"/>
        <v>7643.0035265864826</v>
      </c>
    </row>
    <row r="45" spans="1:11" outlineLevel="1">
      <c r="A45" s="59" t="s">
        <v>163</v>
      </c>
      <c r="B45" s="59">
        <v>4316</v>
      </c>
      <c r="C45" s="59">
        <v>9407</v>
      </c>
      <c r="D45" s="59">
        <v>17579</v>
      </c>
      <c r="E45" s="59">
        <v>13558</v>
      </c>
      <c r="F45" s="59">
        <v>13128</v>
      </c>
      <c r="G45" s="59">
        <f>G42-G43-G44</f>
        <v>9373.1381750000037</v>
      </c>
      <c r="H45" s="59">
        <f t="shared" ref="H45:K45" si="25">H42-H43-H44</f>
        <v>11171.802540162011</v>
      </c>
      <c r="I45" s="59">
        <f t="shared" si="25"/>
        <v>14602.064188711411</v>
      </c>
      <c r="J45" s="59">
        <f t="shared" si="25"/>
        <v>17954.634865251941</v>
      </c>
      <c r="K45" s="59">
        <f t="shared" si="25"/>
        <v>21331.017588529012</v>
      </c>
    </row>
    <row r="46" spans="1:11" outlineLevel="1">
      <c r="A46" t="s">
        <v>164</v>
      </c>
      <c r="B46" s="67">
        <v>2322</v>
      </c>
      <c r="C46" s="67">
        <v>2911</v>
      </c>
      <c r="D46" s="67">
        <v>3747</v>
      </c>
      <c r="E46" s="67">
        <v>4667</v>
      </c>
      <c r="F46" s="67">
        <v>5368</v>
      </c>
      <c r="G46" s="68">
        <f>G126</f>
        <v>5886.9962250000008</v>
      </c>
      <c r="H46" s="68">
        <f t="shared" ref="H46:K46" si="26">H126</f>
        <v>6510.8930789100013</v>
      </c>
      <c r="I46" s="68">
        <f t="shared" si="26"/>
        <v>7185.616920108364</v>
      </c>
      <c r="J46" s="68">
        <f t="shared" si="26"/>
        <v>7796.1634854258382</v>
      </c>
      <c r="K46" s="68">
        <f t="shared" si="26"/>
        <v>8407.3038792451298</v>
      </c>
    </row>
    <row r="47" spans="1:11" outlineLevel="1">
      <c r="A47" t="s">
        <v>159</v>
      </c>
      <c r="B47" s="67">
        <v>0</v>
      </c>
      <c r="C47" s="67">
        <v>-27</v>
      </c>
      <c r="D47" s="67">
        <v>176</v>
      </c>
      <c r="E47" s="67">
        <v>0</v>
      </c>
      <c r="F47" s="67">
        <v>684</v>
      </c>
      <c r="G47" s="79"/>
      <c r="H47" s="79"/>
      <c r="I47" s="79"/>
      <c r="J47" s="79"/>
      <c r="K47" s="79"/>
    </row>
    <row r="48" spans="1:11" outlineLevel="1">
      <c r="A48" s="59" t="s">
        <v>8</v>
      </c>
      <c r="B48" s="59">
        <v>1994</v>
      </c>
      <c r="C48" s="59">
        <v>6523</v>
      </c>
      <c r="D48" s="59">
        <v>13656</v>
      </c>
      <c r="E48" s="59">
        <v>8891</v>
      </c>
      <c r="F48" s="59">
        <v>7076</v>
      </c>
      <c r="G48" s="59">
        <f>G45-G46-G47</f>
        <v>3486.1419500000029</v>
      </c>
      <c r="H48" s="59">
        <f t="shared" ref="H48:K48" si="27">H45-H46-H47</f>
        <v>4660.9094612520094</v>
      </c>
      <c r="I48" s="59">
        <f t="shared" si="27"/>
        <v>7416.4472686030467</v>
      </c>
      <c r="J48" s="59">
        <f t="shared" si="27"/>
        <v>10158.471379826104</v>
      </c>
      <c r="K48" s="59">
        <f t="shared" si="27"/>
        <v>12923.713709283882</v>
      </c>
    </row>
    <row r="49" spans="1:11" outlineLevel="1">
      <c r="A49" t="s">
        <v>310</v>
      </c>
      <c r="B49" s="67">
        <v>30</v>
      </c>
      <c r="C49" s="67">
        <v>56</v>
      </c>
      <c r="D49" s="67">
        <v>297</v>
      </c>
      <c r="E49" s="67">
        <v>1066</v>
      </c>
      <c r="F49" s="67">
        <v>1569</v>
      </c>
      <c r="G49" s="68">
        <f>G129</f>
        <v>968.33999999999992</v>
      </c>
      <c r="H49" s="68">
        <f t="shared" ref="H49:K49" si="28">H129</f>
        <v>1091.770209</v>
      </c>
      <c r="I49" s="68">
        <f t="shared" si="28"/>
        <v>1207.4747164524003</v>
      </c>
      <c r="J49" s="68">
        <f t="shared" si="28"/>
        <v>1332.6053197291874</v>
      </c>
      <c r="K49" s="68">
        <f t="shared" si="28"/>
        <v>1445.8339554789738</v>
      </c>
    </row>
    <row r="50" spans="1:11" outlineLevel="1">
      <c r="A50" t="s">
        <v>311</v>
      </c>
      <c r="B50" s="67">
        <v>-748</v>
      </c>
      <c r="C50" s="67">
        <v>-371</v>
      </c>
      <c r="D50" s="67">
        <v>-191</v>
      </c>
      <c r="E50" s="67">
        <v>-156</v>
      </c>
      <c r="F50" s="67">
        <v>-350</v>
      </c>
      <c r="G50" s="68">
        <f>-G130</f>
        <v>-369.58499999999998</v>
      </c>
      <c r="H50" s="68">
        <f t="shared" ref="H50:K50" si="29">-H130</f>
        <v>-263.7</v>
      </c>
      <c r="I50" s="68">
        <f t="shared" si="29"/>
        <v>-78.48</v>
      </c>
      <c r="J50" s="68">
        <f t="shared" si="29"/>
        <v>-47.024999999999999</v>
      </c>
      <c r="K50" s="68">
        <f t="shared" si="29"/>
        <v>-36.089999999999996</v>
      </c>
    </row>
    <row r="51" spans="1:11" outlineLevel="1">
      <c r="A51" t="s">
        <v>160</v>
      </c>
      <c r="B51" s="67">
        <v>-122</v>
      </c>
      <c r="C51" s="67">
        <v>135</v>
      </c>
      <c r="D51" s="67">
        <v>-43</v>
      </c>
      <c r="E51" s="67">
        <v>172</v>
      </c>
      <c r="F51" s="67">
        <v>695</v>
      </c>
      <c r="G51" s="79"/>
      <c r="H51" s="79"/>
      <c r="I51" s="79"/>
      <c r="J51" s="79"/>
      <c r="K51" s="79"/>
    </row>
    <row r="52" spans="1:11" outlineLevel="1">
      <c r="A52" s="59" t="s">
        <v>9</v>
      </c>
      <c r="B52" s="59">
        <v>1154</v>
      </c>
      <c r="C52" s="59">
        <v>6343</v>
      </c>
      <c r="D52" s="59">
        <v>13719</v>
      </c>
      <c r="E52" s="59">
        <v>9973</v>
      </c>
      <c r="F52" s="59">
        <v>8990</v>
      </c>
      <c r="G52" s="59">
        <f>SUM(G48:G51)</f>
        <v>4084.896950000003</v>
      </c>
      <c r="H52" s="59">
        <f t="shared" ref="H52:K52" si="30">SUM(H48:H51)</f>
        <v>5488.9796702520098</v>
      </c>
      <c r="I52" s="59">
        <f t="shared" si="30"/>
        <v>8545.4419850554477</v>
      </c>
      <c r="J52" s="59">
        <f t="shared" si="30"/>
        <v>11444.051699555292</v>
      </c>
      <c r="K52" s="59">
        <f t="shared" si="30"/>
        <v>14333.457664762856</v>
      </c>
    </row>
    <row r="53" spans="1:11" outlineLevel="1">
      <c r="A53" t="s">
        <v>161</v>
      </c>
      <c r="B53" s="67">
        <v>292</v>
      </c>
      <c r="C53" s="67">
        <v>699</v>
      </c>
      <c r="D53" s="67">
        <v>1132</v>
      </c>
      <c r="E53" s="67">
        <v>-5001</v>
      </c>
      <c r="F53" s="67">
        <v>1837</v>
      </c>
      <c r="G53" s="17">
        <f>G160*G52</f>
        <v>653.5835120000005</v>
      </c>
      <c r="H53" s="17">
        <f>H160*H52</f>
        <v>878.23674724032162</v>
      </c>
      <c r="I53" s="17">
        <f>I160*I52</f>
        <v>1367.2707176088716</v>
      </c>
      <c r="J53" s="17">
        <f>J160*J52</f>
        <v>1831.0482719288466</v>
      </c>
      <c r="K53" s="17">
        <f>K160*K52</f>
        <v>2293.3532263620573</v>
      </c>
    </row>
    <row r="54" spans="1:11" ht="17" outlineLevel="1" thickBot="1">
      <c r="A54" s="121" t="s">
        <v>10</v>
      </c>
      <c r="B54" s="121">
        <v>862</v>
      </c>
      <c r="C54" s="121">
        <v>5644</v>
      </c>
      <c r="D54" s="121">
        <v>12587</v>
      </c>
      <c r="E54" s="121">
        <v>14974</v>
      </c>
      <c r="F54" s="121">
        <v>7153</v>
      </c>
      <c r="G54" s="121">
        <f>G52-G53</f>
        <v>3431.3134380000024</v>
      </c>
      <c r="H54" s="121">
        <f t="shared" ref="H54:K54" si="31">H52-H53</f>
        <v>4610.7429230116886</v>
      </c>
      <c r="I54" s="121">
        <f t="shared" si="31"/>
        <v>7178.1712674465762</v>
      </c>
      <c r="J54" s="121">
        <f t="shared" si="31"/>
        <v>9613.003427626445</v>
      </c>
      <c r="K54" s="121">
        <f t="shared" si="31"/>
        <v>12040.104438400798</v>
      </c>
    </row>
    <row r="55" spans="1:11" ht="17" outlineLevel="1" thickTop="1"/>
    <row r="56" spans="1:11" outlineLevel="1">
      <c r="A56" s="58" t="s">
        <v>190</v>
      </c>
      <c r="G56" s="96">
        <f>F59</f>
        <v>35209</v>
      </c>
      <c r="H56" s="96">
        <f t="shared" ref="H56:K56" si="32">G59</f>
        <v>38640.313438000005</v>
      </c>
      <c r="I56" s="96">
        <f t="shared" si="32"/>
        <v>43251.056361011695</v>
      </c>
      <c r="J56" s="96">
        <f t="shared" si="32"/>
        <v>50429.227628458269</v>
      </c>
      <c r="K56" s="96">
        <f t="shared" si="32"/>
        <v>60042.231056084711</v>
      </c>
    </row>
    <row r="57" spans="1:11" outlineLevel="1">
      <c r="A57" s="66" t="s">
        <v>191</v>
      </c>
      <c r="G57" s="68">
        <f>G54</f>
        <v>3431.3134380000024</v>
      </c>
      <c r="H57" s="68">
        <f t="shared" ref="H57:K57" si="33">H54</f>
        <v>4610.7429230116886</v>
      </c>
      <c r="I57" s="68">
        <f t="shared" si="33"/>
        <v>7178.1712674465762</v>
      </c>
      <c r="J57" s="68">
        <f t="shared" si="33"/>
        <v>9613.003427626445</v>
      </c>
      <c r="K57" s="68">
        <f t="shared" si="33"/>
        <v>12040.104438400798</v>
      </c>
    </row>
    <row r="58" spans="1:11" outlineLevel="1">
      <c r="A58" s="66" t="s">
        <v>192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</row>
    <row r="59" spans="1:11" outlineLevel="1">
      <c r="A59" s="1" t="s">
        <v>193</v>
      </c>
      <c r="F59" s="95">
        <f>F28</f>
        <v>35209</v>
      </c>
      <c r="G59" s="95">
        <f>G56+G57-G58</f>
        <v>38640.313438000005</v>
      </c>
      <c r="H59" s="95">
        <f t="shared" ref="H59:K59" si="34">H56+H57-H58</f>
        <v>43251.056361011695</v>
      </c>
      <c r="I59" s="95">
        <f t="shared" si="34"/>
        <v>50429.227628458269</v>
      </c>
      <c r="J59" s="95">
        <f t="shared" si="34"/>
        <v>60042.231056084711</v>
      </c>
      <c r="K59" s="95">
        <f t="shared" si="34"/>
        <v>72082.335494485509</v>
      </c>
    </row>
    <row r="60" spans="1:11" ht="17" thickBot="1"/>
    <row r="61" spans="1:11" ht="23" thickBot="1">
      <c r="A61" s="155" t="s">
        <v>28</v>
      </c>
      <c r="B61" s="156"/>
      <c r="C61" s="156"/>
      <c r="D61" s="156"/>
      <c r="E61" s="156"/>
      <c r="F61" s="156"/>
      <c r="G61" s="156"/>
      <c r="H61" s="156"/>
      <c r="I61" s="156"/>
      <c r="J61" s="156"/>
      <c r="K61" s="157"/>
    </row>
    <row r="62" spans="1:11" outlineLevel="1">
      <c r="A62" s="1" t="s">
        <v>281</v>
      </c>
      <c r="B62" s="63"/>
      <c r="C62" s="63"/>
      <c r="D62" s="63"/>
      <c r="E62" s="63"/>
      <c r="F62" s="63"/>
      <c r="G62" s="69"/>
      <c r="H62" s="69"/>
      <c r="I62" s="69"/>
      <c r="J62" s="69"/>
      <c r="K62" s="69"/>
    </row>
    <row r="63" spans="1:11" outlineLevel="1">
      <c r="A63" t="s">
        <v>108</v>
      </c>
      <c r="B63" s="63">
        <v>862</v>
      </c>
      <c r="C63" s="63">
        <v>5644</v>
      </c>
      <c r="D63" s="63">
        <v>12587</v>
      </c>
      <c r="E63" s="63">
        <v>14974</v>
      </c>
      <c r="F63" s="63">
        <v>7153</v>
      </c>
      <c r="G63" s="69">
        <f>G54</f>
        <v>3431.3134380000024</v>
      </c>
      <c r="H63" s="69">
        <f t="shared" ref="H63:K63" si="35">H54</f>
        <v>4610.7429230116886</v>
      </c>
      <c r="I63" s="69">
        <f t="shared" si="35"/>
        <v>7178.1712674465762</v>
      </c>
      <c r="J63" s="69">
        <f t="shared" si="35"/>
        <v>9613.003427626445</v>
      </c>
      <c r="K63" s="69">
        <f t="shared" si="35"/>
        <v>12040.104438400798</v>
      </c>
    </row>
    <row r="64" spans="1:11" outlineLevel="1">
      <c r="A64" t="s">
        <v>164</v>
      </c>
      <c r="B64" s="64">
        <v>2322</v>
      </c>
      <c r="C64" s="64">
        <v>2911</v>
      </c>
      <c r="D64" s="64">
        <v>3747</v>
      </c>
      <c r="E64" s="64">
        <v>4667</v>
      </c>
      <c r="F64" s="64">
        <v>5368</v>
      </c>
      <c r="G64" s="68">
        <f>G126</f>
        <v>5886.9962250000008</v>
      </c>
      <c r="H64" s="68">
        <f t="shared" ref="H64:K64" si="36">H126</f>
        <v>6510.8930789100013</v>
      </c>
      <c r="I64" s="68">
        <f t="shared" si="36"/>
        <v>7185.616920108364</v>
      </c>
      <c r="J64" s="68">
        <f t="shared" si="36"/>
        <v>7796.1634854258382</v>
      </c>
      <c r="K64" s="68">
        <f t="shared" si="36"/>
        <v>8407.3038792451298</v>
      </c>
    </row>
    <row r="65" spans="1:11" outlineLevel="1">
      <c r="A65" t="s">
        <v>165</v>
      </c>
      <c r="B65" s="64">
        <v>2575</v>
      </c>
      <c r="C65" s="64">
        <v>2424</v>
      </c>
      <c r="D65" s="64">
        <v>2102</v>
      </c>
      <c r="E65" s="64">
        <v>-4137</v>
      </c>
      <c r="F65" s="64">
        <v>2321</v>
      </c>
      <c r="G65" s="79"/>
      <c r="H65" s="79"/>
      <c r="I65" s="79"/>
      <c r="J65" s="79"/>
      <c r="K65" s="79"/>
    </row>
    <row r="66" spans="1:11" outlineLevel="1">
      <c r="A66" t="s">
        <v>167</v>
      </c>
      <c r="B66" s="64">
        <v>-652</v>
      </c>
      <c r="C66" s="64">
        <v>-130</v>
      </c>
      <c r="D66" s="64">
        <v>-1124</v>
      </c>
      <c r="E66" s="64">
        <v>-586</v>
      </c>
      <c r="F66" s="64">
        <v>-1083</v>
      </c>
      <c r="G66" s="93">
        <f t="shared" ref="G66:K68" si="37">-(G10-F10)</f>
        <v>29.511904999999388</v>
      </c>
      <c r="H66" s="93">
        <f t="shared" si="37"/>
        <v>-465.0867456420001</v>
      </c>
      <c r="I66" s="93">
        <f t="shared" si="37"/>
        <v>-502.97595434787036</v>
      </c>
      <c r="J66" s="93">
        <f t="shared" si="37"/>
        <v>-455.13471232757274</v>
      </c>
      <c r="K66" s="93">
        <f t="shared" si="37"/>
        <v>-455.57738448347118</v>
      </c>
    </row>
    <row r="67" spans="1:11" outlineLevel="1">
      <c r="A67" t="s">
        <v>166</v>
      </c>
      <c r="B67" s="64">
        <v>-422</v>
      </c>
      <c r="C67" s="64">
        <v>-1709</v>
      </c>
      <c r="D67" s="64">
        <v>-6465</v>
      </c>
      <c r="E67" s="64">
        <v>-1195</v>
      </c>
      <c r="F67" s="64">
        <v>937</v>
      </c>
      <c r="G67" s="93">
        <f t="shared" si="37"/>
        <v>-4169.5211280000003</v>
      </c>
      <c r="H67" s="93">
        <f t="shared" si="37"/>
        <v>-1566.4458336428797</v>
      </c>
      <c r="I67" s="93">
        <f t="shared" si="37"/>
        <v>-1419.3223061571953</v>
      </c>
      <c r="J67" s="93">
        <f t="shared" si="37"/>
        <v>-1238.3336738996077</v>
      </c>
      <c r="K67" s="93">
        <f t="shared" si="37"/>
        <v>-1235.736113197283</v>
      </c>
    </row>
    <row r="68" spans="1:11" outlineLevel="1">
      <c r="A68" t="s">
        <v>169</v>
      </c>
      <c r="B68" s="64">
        <v>-595</v>
      </c>
      <c r="C68" s="64">
        <v>-1562</v>
      </c>
      <c r="D68" s="64">
        <v>-3713</v>
      </c>
      <c r="E68" s="64">
        <v>-2652</v>
      </c>
      <c r="F68" s="64">
        <v>-3273</v>
      </c>
      <c r="G68" s="93">
        <f t="shared" si="37"/>
        <v>1080.5481999999993</v>
      </c>
      <c r="H68" s="93">
        <f t="shared" si="37"/>
        <v>-453.74316648000058</v>
      </c>
      <c r="I68" s="93">
        <f t="shared" si="37"/>
        <v>-490.70824814426305</v>
      </c>
      <c r="J68" s="93">
        <f t="shared" si="37"/>
        <v>-444.03386568543647</v>
      </c>
      <c r="K68" s="93">
        <f t="shared" si="37"/>
        <v>-444.46574095948472</v>
      </c>
    </row>
    <row r="69" spans="1:11" outlineLevel="1">
      <c r="A69" t="s">
        <v>170</v>
      </c>
      <c r="B69" s="64">
        <v>2604</v>
      </c>
      <c r="C69" s="64">
        <v>5240</v>
      </c>
      <c r="D69" s="64">
        <v>8029</v>
      </c>
      <c r="E69" s="64">
        <v>2605</v>
      </c>
      <c r="F69" s="64">
        <v>3588</v>
      </c>
      <c r="G69" s="93">
        <f>G19-F19</f>
        <v>3926.3597280000031</v>
      </c>
      <c r="H69" s="93">
        <f>H19-G19</f>
        <v>2624.8551806988798</v>
      </c>
      <c r="I69" s="93">
        <f>I19-H19</f>
        <v>2378.3238643715158</v>
      </c>
      <c r="J69" s="93">
        <f>J19-I19</f>
        <v>2075.0456157236658</v>
      </c>
      <c r="K69" s="93">
        <f>K19-J19</f>
        <v>2070.6929464386922</v>
      </c>
    </row>
    <row r="70" spans="1:11" outlineLevel="1">
      <c r="A70" t="s">
        <v>168</v>
      </c>
      <c r="B70" s="64">
        <v>-751</v>
      </c>
      <c r="C70" s="64">
        <v>-1321</v>
      </c>
      <c r="D70" s="64">
        <v>-439</v>
      </c>
      <c r="E70" s="64">
        <v>-420</v>
      </c>
      <c r="F70" s="64">
        <v>-88</v>
      </c>
      <c r="G70" s="93">
        <f>(G20-F20)+(G23-F23)</f>
        <v>210.35951175000264</v>
      </c>
      <c r="H70" s="93">
        <f>(H20-G20)+(H23-G23)</f>
        <v>1713.0969477109797</v>
      </c>
      <c r="I70" s="93">
        <f>(I20-H20)+(I23-H23)</f>
        <v>1652.1739196026997</v>
      </c>
      <c r="J70" s="93">
        <f>(J20-I20)+(J23-I23)</f>
        <v>1461.466440937309</v>
      </c>
      <c r="K70" s="93">
        <f>(K20-J20)+(K23-J23)</f>
        <v>1460.1134669810781</v>
      </c>
    </row>
    <row r="71" spans="1:11" outlineLevel="1">
      <c r="A71" s="4" t="s">
        <v>179</v>
      </c>
      <c r="B71" s="59">
        <v>5943</v>
      </c>
      <c r="C71" s="59">
        <v>11497</v>
      </c>
      <c r="D71" s="59">
        <v>14724</v>
      </c>
      <c r="E71" s="59">
        <v>13256</v>
      </c>
      <c r="F71" s="59">
        <v>14923</v>
      </c>
      <c r="G71" s="59">
        <f>SUM(G63:G70)</f>
        <v>10395.567879750008</v>
      </c>
      <c r="H71" s="59">
        <f t="shared" ref="H71:K71" si="38">SUM(H63:H70)</f>
        <v>12974.312384566669</v>
      </c>
      <c r="I71" s="59">
        <f t="shared" si="38"/>
        <v>15981.279462879826</v>
      </c>
      <c r="J71" s="59">
        <f t="shared" si="38"/>
        <v>18808.176717800641</v>
      </c>
      <c r="K71" s="59">
        <f t="shared" si="38"/>
        <v>21842.435492425459</v>
      </c>
    </row>
    <row r="72" spans="1:11" outlineLevel="1">
      <c r="A72" s="1"/>
      <c r="B72" s="86"/>
      <c r="C72" s="86"/>
      <c r="D72" s="86"/>
      <c r="E72" s="86"/>
      <c r="F72" s="86"/>
      <c r="G72" s="86"/>
      <c r="H72" s="86"/>
      <c r="I72" s="86"/>
      <c r="J72" s="86"/>
      <c r="K72" s="86"/>
    </row>
    <row r="73" spans="1:11" outlineLevel="1">
      <c r="A73" s="1" t="s">
        <v>282</v>
      </c>
      <c r="B73" s="86"/>
      <c r="C73" s="86"/>
      <c r="D73" s="86"/>
      <c r="E73" s="86"/>
      <c r="F73" s="86"/>
      <c r="G73" s="86"/>
      <c r="H73" s="86"/>
      <c r="I73" s="86"/>
      <c r="J73" s="86"/>
      <c r="K73" s="86"/>
    </row>
    <row r="74" spans="1:11" outlineLevel="1">
      <c r="A74" t="s">
        <v>171</v>
      </c>
      <c r="B74" s="64">
        <v>-3157</v>
      </c>
      <c r="C74" s="64">
        <v>-6482</v>
      </c>
      <c r="D74" s="64">
        <v>-7158</v>
      </c>
      <c r="E74" s="64">
        <v>-8898</v>
      </c>
      <c r="F74" s="64">
        <v>-11339</v>
      </c>
      <c r="G74" s="68">
        <f>-G143</f>
        <v>-10703.629500000003</v>
      </c>
      <c r="H74" s="68">
        <f t="shared" ref="H74:K74" si="39">-H143</f>
        <v>-11837.987416200003</v>
      </c>
      <c r="I74" s="68">
        <f t="shared" si="39"/>
        <v>-13064.758036560663</v>
      </c>
      <c r="J74" s="68">
        <f t="shared" si="39"/>
        <v>-14174.842700774252</v>
      </c>
      <c r="K74" s="68">
        <f t="shared" si="39"/>
        <v>-15286.007053172965</v>
      </c>
    </row>
    <row r="75" spans="1:11" outlineLevel="1">
      <c r="A75" t="s">
        <v>172</v>
      </c>
      <c r="B75" s="64">
        <v>25</v>
      </c>
      <c r="C75" s="64">
        <v>-1386</v>
      </c>
      <c r="D75" s="64">
        <v>-4815</v>
      </c>
      <c r="E75" s="64">
        <v>-6686</v>
      </c>
      <c r="F75" s="64">
        <v>-7448</v>
      </c>
      <c r="G75" s="17">
        <f>-(G9-F9)</f>
        <v>4368.5557499999995</v>
      </c>
      <c r="H75" s="17">
        <f>-(H9-G9)</f>
        <v>-1701.5368743000035</v>
      </c>
      <c r="I75" s="17">
        <f>-(I9-H9)</f>
        <v>-1840.1559305409864</v>
      </c>
      <c r="J75" s="17">
        <f>-(J9-I9)</f>
        <v>-1665.1269963203849</v>
      </c>
      <c r="K75" s="17">
        <f>-(K9-J9)</f>
        <v>-1666.7465285980688</v>
      </c>
    </row>
    <row r="76" spans="1:11" outlineLevel="1">
      <c r="A76" s="4" t="s">
        <v>180</v>
      </c>
      <c r="B76" s="59">
        <v>-3132</v>
      </c>
      <c r="C76" s="59">
        <v>-7868</v>
      </c>
      <c r="D76" s="59">
        <v>-11973</v>
      </c>
      <c r="E76" s="59">
        <v>-15584</v>
      </c>
      <c r="F76" s="59">
        <v>-18787</v>
      </c>
      <c r="G76" s="59">
        <f>SUM(G74:G75)</f>
        <v>-6335.0737500000032</v>
      </c>
      <c r="H76" s="59">
        <f t="shared" ref="H76:K76" si="40">SUM(H74:H75)</f>
        <v>-13539.524290500007</v>
      </c>
      <c r="I76" s="59">
        <f t="shared" si="40"/>
        <v>-14904.913967101649</v>
      </c>
      <c r="J76" s="59">
        <f t="shared" si="40"/>
        <v>-15839.969697094637</v>
      </c>
      <c r="K76" s="59">
        <f t="shared" si="40"/>
        <v>-16952.753581771034</v>
      </c>
    </row>
    <row r="77" spans="1:11" outlineLevel="1">
      <c r="A77" s="1"/>
      <c r="B77" s="86"/>
      <c r="C77" s="86"/>
      <c r="D77" s="86"/>
      <c r="E77" s="86"/>
      <c r="F77" s="86"/>
      <c r="G77" s="86"/>
      <c r="H77" s="86"/>
      <c r="I77" s="86"/>
      <c r="J77" s="86"/>
      <c r="K77" s="86"/>
    </row>
    <row r="78" spans="1:11" outlineLevel="1">
      <c r="A78" s="1" t="s">
        <v>283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</row>
    <row r="79" spans="1:11" outlineLevel="1">
      <c r="A79" t="s">
        <v>174</v>
      </c>
      <c r="B79" s="64">
        <v>12269</v>
      </c>
      <c r="C79" s="64">
        <v>0</v>
      </c>
      <c r="D79" s="64">
        <v>0</v>
      </c>
      <c r="E79" s="64">
        <v>0</v>
      </c>
      <c r="F79" s="64">
        <v>0</v>
      </c>
    </row>
    <row r="80" spans="1:11" outlineLevel="1">
      <c r="A80" t="s">
        <v>175</v>
      </c>
      <c r="B80" s="64">
        <v>9713</v>
      </c>
      <c r="C80" s="64">
        <v>8883</v>
      </c>
      <c r="D80" s="64">
        <v>0</v>
      </c>
      <c r="E80" s="64">
        <v>3931</v>
      </c>
      <c r="F80" s="64">
        <v>5744</v>
      </c>
    </row>
    <row r="81" spans="1:11" outlineLevel="1">
      <c r="A81" t="s">
        <v>176</v>
      </c>
      <c r="B81" s="64">
        <v>-12201</v>
      </c>
      <c r="C81" s="64">
        <v>-14615</v>
      </c>
      <c r="D81" s="64">
        <v>-3866</v>
      </c>
      <c r="E81" s="64">
        <v>-1815</v>
      </c>
      <c r="F81" s="64">
        <v>-2881</v>
      </c>
      <c r="G81" s="17">
        <f>G22-F22</f>
        <v>-2353</v>
      </c>
      <c r="H81" s="17">
        <f>H22-G22</f>
        <v>-4116</v>
      </c>
      <c r="I81" s="17">
        <f>I22-H22</f>
        <v>-699</v>
      </c>
      <c r="J81" s="17">
        <f>J22-I22</f>
        <v>-243</v>
      </c>
      <c r="K81" s="17">
        <f>K22-J22</f>
        <v>-95</v>
      </c>
    </row>
    <row r="82" spans="1:11" outlineLevel="1">
      <c r="A82" t="s">
        <v>177</v>
      </c>
      <c r="B82" s="64">
        <v>192</v>
      </c>
      <c r="C82" s="64">
        <v>529</v>
      </c>
      <c r="D82" s="64">
        <v>339</v>
      </c>
      <c r="E82" s="64">
        <v>473</v>
      </c>
      <c r="F82" s="64">
        <v>990</v>
      </c>
    </row>
    <row r="83" spans="1:11" outlineLevel="1">
      <c r="A83" s="4" t="s">
        <v>181</v>
      </c>
      <c r="B83" s="59">
        <v>9973</v>
      </c>
      <c r="C83" s="59">
        <v>-5203</v>
      </c>
      <c r="D83" s="59">
        <v>-3527</v>
      </c>
      <c r="E83" s="59">
        <v>2589</v>
      </c>
      <c r="F83" s="59">
        <v>3853</v>
      </c>
      <c r="G83" s="59">
        <f>SUM(G79:G82)</f>
        <v>-2353</v>
      </c>
      <c r="H83" s="59">
        <f t="shared" ref="H83:K83" si="41">SUM(H79:H82)</f>
        <v>-4116</v>
      </c>
      <c r="I83" s="59">
        <f t="shared" si="41"/>
        <v>-699</v>
      </c>
      <c r="J83" s="59">
        <f t="shared" si="41"/>
        <v>-243</v>
      </c>
      <c r="K83" s="59">
        <f t="shared" si="41"/>
        <v>-95</v>
      </c>
    </row>
    <row r="84" spans="1:11" outlineLevel="1">
      <c r="A84" t="s">
        <v>178</v>
      </c>
      <c r="B84" s="64">
        <v>334</v>
      </c>
      <c r="C84" s="64">
        <v>-183</v>
      </c>
      <c r="D84" s="64">
        <v>-444</v>
      </c>
      <c r="E84" s="64">
        <v>4</v>
      </c>
      <c r="F84" s="64">
        <v>-141</v>
      </c>
    </row>
    <row r="85" spans="1:11" outlineLevel="1">
      <c r="B85" s="17"/>
      <c r="C85" s="17"/>
      <c r="D85" s="17"/>
      <c r="E85" s="17"/>
      <c r="F85" s="17"/>
    </row>
    <row r="86" spans="1:11" outlineLevel="1">
      <c r="A86" t="s">
        <v>182</v>
      </c>
      <c r="B86" s="17">
        <v>13118</v>
      </c>
      <c r="C86" s="17">
        <v>-1757</v>
      </c>
      <c r="D86" s="17">
        <v>-1220</v>
      </c>
      <c r="E86" s="17">
        <v>265</v>
      </c>
      <c r="F86" s="17">
        <v>-152</v>
      </c>
      <c r="G86" s="17">
        <f>G71+G76+G83</f>
        <v>1707.4941297500045</v>
      </c>
      <c r="H86" s="17">
        <f t="shared" ref="H86:K86" si="42">H71+H76+H83</f>
        <v>-4681.2119059333381</v>
      </c>
      <c r="I86" s="17">
        <f t="shared" si="42"/>
        <v>377.36549577817641</v>
      </c>
      <c r="J86" s="17">
        <f t="shared" si="42"/>
        <v>2725.2070207060042</v>
      </c>
      <c r="K86" s="17">
        <f t="shared" si="42"/>
        <v>4794.6819106544244</v>
      </c>
    </row>
    <row r="87" spans="1:11" outlineLevel="1">
      <c r="B87" s="17"/>
      <c r="C87" s="17"/>
      <c r="D87" s="17"/>
      <c r="E87" s="17"/>
      <c r="F87" s="17"/>
    </row>
    <row r="88" spans="1:11" outlineLevel="1">
      <c r="A88" t="s">
        <v>183</v>
      </c>
      <c r="B88" s="17">
        <v>6783</v>
      </c>
      <c r="C88" s="17">
        <v>19901</v>
      </c>
      <c r="D88" s="17">
        <v>18144</v>
      </c>
      <c r="E88" s="17">
        <v>16924</v>
      </c>
      <c r="F88" s="17">
        <v>17189</v>
      </c>
      <c r="G88" s="69">
        <f>F90</f>
        <v>16139</v>
      </c>
      <c r="H88" s="69">
        <f t="shared" ref="H88:K88" si="43">G90</f>
        <v>17846.494129750005</v>
      </c>
      <c r="I88" s="69">
        <f t="shared" si="43"/>
        <v>13165.282223816666</v>
      </c>
      <c r="J88" s="69">
        <f t="shared" si="43"/>
        <v>13542.647719594843</v>
      </c>
      <c r="K88" s="69">
        <f t="shared" si="43"/>
        <v>16267.854740300847</v>
      </c>
    </row>
    <row r="89" spans="1:11" outlineLevel="1">
      <c r="A89" t="s">
        <v>182</v>
      </c>
      <c r="B89" s="17">
        <v>13118</v>
      </c>
      <c r="C89" s="17">
        <v>-1757</v>
      </c>
      <c r="D89" s="17">
        <v>-1220</v>
      </c>
      <c r="E89" s="17">
        <v>265</v>
      </c>
      <c r="F89" s="17">
        <v>-152</v>
      </c>
      <c r="G89" s="68">
        <f>G86</f>
        <v>1707.4941297500045</v>
      </c>
      <c r="H89" s="68">
        <f t="shared" ref="H89:K89" si="44">H86</f>
        <v>-4681.2119059333381</v>
      </c>
      <c r="I89" s="68">
        <f t="shared" si="44"/>
        <v>377.36549577817641</v>
      </c>
      <c r="J89" s="68">
        <f t="shared" si="44"/>
        <v>2725.2070207060042</v>
      </c>
      <c r="K89" s="68">
        <f t="shared" si="44"/>
        <v>4794.6819106544244</v>
      </c>
    </row>
    <row r="90" spans="1:11" outlineLevel="1">
      <c r="A90" s="1" t="s">
        <v>184</v>
      </c>
      <c r="B90" s="59">
        <v>19901</v>
      </c>
      <c r="C90" s="59">
        <v>18144</v>
      </c>
      <c r="D90" s="59">
        <v>16924</v>
      </c>
      <c r="E90" s="59">
        <v>17189</v>
      </c>
      <c r="F90" s="95">
        <f>F7</f>
        <v>16139</v>
      </c>
      <c r="G90" s="59">
        <f>SUM(G88:G89)</f>
        <v>17846.494129750005</v>
      </c>
      <c r="H90" s="59">
        <f t="shared" ref="H90:K90" si="45">SUM(H88:H89)</f>
        <v>13165.282223816666</v>
      </c>
      <c r="I90" s="59">
        <f t="shared" si="45"/>
        <v>13542.647719594843</v>
      </c>
      <c r="J90" s="59">
        <f t="shared" si="45"/>
        <v>16267.854740300847</v>
      </c>
      <c r="K90" s="59">
        <f t="shared" si="45"/>
        <v>21062.53665095527</v>
      </c>
    </row>
    <row r="91" spans="1:11" outlineLevel="1">
      <c r="A91" t="s">
        <v>194</v>
      </c>
      <c r="G91" s="68">
        <f>G7</f>
        <v>18196.170150000002</v>
      </c>
      <c r="H91" s="68">
        <f>H7</f>
        <v>20124.578607540006</v>
      </c>
      <c r="I91" s="68">
        <f>I7</f>
        <v>22210.088662153124</v>
      </c>
      <c r="J91" s="68">
        <f>J7</f>
        <v>24097.232591316231</v>
      </c>
      <c r="K91" s="68">
        <f>K7</f>
        <v>25986.21199039404</v>
      </c>
    </row>
    <row r="92" spans="1:11" outlineLevel="1">
      <c r="A92" s="1" t="s">
        <v>195</v>
      </c>
      <c r="G92" s="59">
        <f>G90-G91</f>
        <v>-349.67602024999724</v>
      </c>
      <c r="H92" s="59">
        <f t="shared" ref="H92:K92" si="46">H90-H91</f>
        <v>-6959.2963837233401</v>
      </c>
      <c r="I92" s="59">
        <f t="shared" si="46"/>
        <v>-8667.4409425582817</v>
      </c>
      <c r="J92" s="59">
        <f t="shared" si="46"/>
        <v>-7829.3778510153843</v>
      </c>
      <c r="K92" s="59">
        <f t="shared" si="46"/>
        <v>-4923.6753394387706</v>
      </c>
    </row>
    <row r="93" spans="1:11" ht="17" thickBot="1">
      <c r="A93" s="1"/>
      <c r="G93" s="86"/>
      <c r="H93" s="86"/>
      <c r="I93" s="86"/>
      <c r="J93" s="86"/>
      <c r="K93" s="86"/>
    </row>
    <row r="94" spans="1:11" ht="23" thickBot="1">
      <c r="A94" s="155" t="s">
        <v>313</v>
      </c>
      <c r="B94" s="156"/>
      <c r="C94" s="156"/>
      <c r="D94" s="156"/>
      <c r="E94" s="156"/>
      <c r="F94" s="156"/>
      <c r="G94" s="156"/>
      <c r="H94" s="156"/>
      <c r="I94" s="156"/>
      <c r="J94" s="156"/>
      <c r="K94" s="157"/>
    </row>
    <row r="95" spans="1:11" outlineLevel="1">
      <c r="A95" s="122" t="s">
        <v>0</v>
      </c>
      <c r="B95" s="122"/>
      <c r="C95" s="122"/>
      <c r="D95" s="122"/>
      <c r="E95" s="122"/>
      <c r="F95" s="122"/>
      <c r="G95" s="123"/>
      <c r="H95" s="123"/>
      <c r="I95" s="123"/>
      <c r="J95" s="123"/>
      <c r="K95" s="123"/>
    </row>
    <row r="96" spans="1:11" outlineLevel="1">
      <c r="A96" s="2" t="s">
        <v>1</v>
      </c>
      <c r="B96" s="125">
        <v>27236</v>
      </c>
      <c r="C96" s="125">
        <v>47232</v>
      </c>
      <c r="D96" s="125">
        <v>71462</v>
      </c>
      <c r="E96" s="125">
        <v>82419</v>
      </c>
      <c r="F96" s="125">
        <v>77070</v>
      </c>
      <c r="G96" s="58">
        <f>G108*G110</f>
        <v>79266.49500000001</v>
      </c>
      <c r="H96" s="58">
        <f t="shared" ref="H96:K96" si="47">H108*H110</f>
        <v>83039.580162000013</v>
      </c>
      <c r="I96" s="58">
        <f t="shared" si="47"/>
        <v>87963.827265606611</v>
      </c>
      <c r="J96" s="58">
        <f t="shared" si="47"/>
        <v>91900.208535742509</v>
      </c>
      <c r="K96" s="58">
        <f t="shared" si="47"/>
        <v>96495.218962529645</v>
      </c>
    </row>
    <row r="97" spans="1:11" outlineLevel="1">
      <c r="A97" s="2" t="s">
        <v>2</v>
      </c>
      <c r="B97" s="126">
        <v>1994</v>
      </c>
      <c r="C97" s="126">
        <v>2789</v>
      </c>
      <c r="D97" s="126">
        <v>3909</v>
      </c>
      <c r="E97" s="126">
        <v>6035</v>
      </c>
      <c r="F97" s="126">
        <v>10086</v>
      </c>
      <c r="G97" s="25">
        <f>F97*(1+G116)</f>
        <v>15129</v>
      </c>
      <c r="H97" s="25">
        <f>G97*(1+H116)</f>
        <v>20424.150000000001</v>
      </c>
      <c r="I97" s="25">
        <f>H97*(1+I116)</f>
        <v>25530.1875</v>
      </c>
      <c r="J97" s="25">
        <f>I97*(1+J116)</f>
        <v>30636.224999999999</v>
      </c>
      <c r="K97" s="25">
        <f>J97*(1+K116)</f>
        <v>35231.658749999995</v>
      </c>
    </row>
    <row r="98" spans="1:11" outlineLevel="1">
      <c r="A98" s="2" t="s">
        <v>3</v>
      </c>
      <c r="B98" s="126">
        <v>2306</v>
      </c>
      <c r="C98" s="126">
        <v>3802</v>
      </c>
      <c r="D98" s="126">
        <v>6091</v>
      </c>
      <c r="E98" s="126">
        <v>8319</v>
      </c>
      <c r="F98" s="126">
        <v>10534</v>
      </c>
      <c r="G98" s="25">
        <f>F98*(1+G120)</f>
        <v>12640.8</v>
      </c>
      <c r="H98" s="25">
        <f>G98*(1+H120)</f>
        <v>14916.143999999998</v>
      </c>
      <c r="I98" s="25">
        <f>H98*(1+I120)</f>
        <v>17153.565599999998</v>
      </c>
      <c r="J98" s="25">
        <f>I98*(1+J120)</f>
        <v>19211.993471999998</v>
      </c>
      <c r="K98" s="25">
        <f>J98*(1+K120)</f>
        <v>21133.192819200001</v>
      </c>
    </row>
    <row r="99" spans="1:11" outlineLevel="1">
      <c r="A99" s="4" t="s">
        <v>4</v>
      </c>
      <c r="B99" s="6">
        <f t="shared" ref="B99:C99" si="48">SUM(B96:B98)</f>
        <v>31536</v>
      </c>
      <c r="C99" s="6">
        <f t="shared" si="48"/>
        <v>53823</v>
      </c>
      <c r="D99" s="6">
        <f>SUM(D96:D98)</f>
        <v>81462</v>
      </c>
      <c r="E99" s="6">
        <f t="shared" ref="E99:F99" si="49">SUM(E96:E98)</f>
        <v>96773</v>
      </c>
      <c r="F99" s="6">
        <f t="shared" si="49"/>
        <v>97690</v>
      </c>
      <c r="G99" s="6">
        <f>SUM(G96:G98)</f>
        <v>107036.29500000001</v>
      </c>
      <c r="H99" s="6">
        <f t="shared" ref="H99:K99" si="50">SUM(H96:H98)</f>
        <v>118379.87416200002</v>
      </c>
      <c r="I99" s="6">
        <f t="shared" si="50"/>
        <v>130647.58036560661</v>
      </c>
      <c r="J99" s="6">
        <f t="shared" si="50"/>
        <v>141748.42700774252</v>
      </c>
      <c r="K99" s="6">
        <f t="shared" si="50"/>
        <v>152860.07053172964</v>
      </c>
    </row>
    <row r="100" spans="1:11" outlineLevel="1">
      <c r="B100" s="5"/>
      <c r="C100" s="5"/>
      <c r="D100" s="5"/>
      <c r="E100" s="5"/>
      <c r="F100" s="5"/>
      <c r="G100" s="86"/>
      <c r="H100" s="86"/>
      <c r="I100" s="86"/>
      <c r="J100" s="86"/>
      <c r="K100" s="86"/>
    </row>
    <row r="101" spans="1:11" outlineLevel="1">
      <c r="A101" s="2" t="s">
        <v>5</v>
      </c>
      <c r="B101" s="126">
        <v>20259</v>
      </c>
      <c r="C101" s="126">
        <v>33393</v>
      </c>
      <c r="D101" s="126">
        <v>51108</v>
      </c>
      <c r="E101" s="126">
        <v>66389</v>
      </c>
      <c r="F101" s="126">
        <v>62873</v>
      </c>
      <c r="G101" s="25">
        <f>G108*G112</f>
        <v>67500.452799999999</v>
      </c>
      <c r="H101" s="25">
        <f t="shared" ref="H101:K101" si="51">H108*H112</f>
        <v>71223.777776448012</v>
      </c>
      <c r="I101" s="25">
        <f t="shared" si="51"/>
        <v>74609.043934162575</v>
      </c>
      <c r="J101" s="25">
        <f t="shared" si="51"/>
        <v>76929.38520051504</v>
      </c>
      <c r="K101" s="25">
        <f t="shared" si="51"/>
        <v>79806.544207014318</v>
      </c>
    </row>
    <row r="102" spans="1:11" outlineLevel="1">
      <c r="A102" s="2" t="s">
        <v>6</v>
      </c>
      <c r="B102" s="126">
        <v>1976</v>
      </c>
      <c r="C102" s="126">
        <v>2918</v>
      </c>
      <c r="D102" s="126">
        <v>3621</v>
      </c>
      <c r="E102" s="126">
        <v>4894</v>
      </c>
      <c r="F102" s="126">
        <v>7446</v>
      </c>
      <c r="G102" s="25">
        <f>G97*(1-G117)</f>
        <v>10892.88</v>
      </c>
      <c r="H102" s="25">
        <f>H97*(1-H117)</f>
        <v>14296.905000000001</v>
      </c>
      <c r="I102" s="25">
        <f>I97*(1-I117)</f>
        <v>17360.5275</v>
      </c>
      <c r="J102" s="25">
        <f>J97*(1-J117)</f>
        <v>20526.270749999996</v>
      </c>
      <c r="K102" s="25">
        <f>K97*(1-K117)</f>
        <v>23252.894774999993</v>
      </c>
    </row>
    <row r="103" spans="1:11" outlineLevel="1">
      <c r="A103" s="2" t="s">
        <v>7</v>
      </c>
      <c r="B103" s="126">
        <v>2671</v>
      </c>
      <c r="C103" s="126">
        <v>3906</v>
      </c>
      <c r="D103" s="126">
        <v>5880</v>
      </c>
      <c r="E103" s="126">
        <v>7830</v>
      </c>
      <c r="F103" s="126">
        <v>9921</v>
      </c>
      <c r="G103" s="25">
        <f>G98*(1-G117)</f>
        <v>9101.3759999999984</v>
      </c>
      <c r="H103" s="25">
        <f>H98*(1-H117)</f>
        <v>10441.300799999999</v>
      </c>
      <c r="I103" s="25">
        <f>I98*(1-I117)</f>
        <v>11664.424607999998</v>
      </c>
      <c r="J103" s="25">
        <f>J98*(1-J117)</f>
        <v>12872.035626239998</v>
      </c>
      <c r="K103" s="25">
        <f>K98*(1-K117)</f>
        <v>13947.907260672</v>
      </c>
    </row>
    <row r="104" spans="1:11" outlineLevel="1">
      <c r="A104" s="4" t="s">
        <v>315</v>
      </c>
      <c r="B104" s="6">
        <f>SUM(B101:B103)</f>
        <v>24906</v>
      </c>
      <c r="C104" s="6">
        <f t="shared" ref="C104:F104" si="52">SUM(C101:C103)</f>
        <v>40217</v>
      </c>
      <c r="D104" s="6">
        <f t="shared" si="52"/>
        <v>60609</v>
      </c>
      <c r="E104" s="6">
        <f t="shared" si="52"/>
        <v>79113</v>
      </c>
      <c r="F104" s="6">
        <f t="shared" si="52"/>
        <v>80240</v>
      </c>
      <c r="G104" s="6">
        <f>SUM(G101:G103)</f>
        <v>87494.708800000008</v>
      </c>
      <c r="H104" s="6">
        <f t="shared" ref="H104:K104" si="53">SUM(H101:H103)</f>
        <v>95961.983576448009</v>
      </c>
      <c r="I104" s="6">
        <f t="shared" si="53"/>
        <v>103633.99604216257</v>
      </c>
      <c r="J104" s="6">
        <f t="shared" si="53"/>
        <v>110327.69157675504</v>
      </c>
      <c r="K104" s="6">
        <f t="shared" si="53"/>
        <v>117007.34624268631</v>
      </c>
    </row>
    <row r="105" spans="1:11" outlineLevel="1">
      <c r="A105" s="1"/>
      <c r="G105" s="86"/>
      <c r="H105" s="86"/>
      <c r="I105" s="86"/>
      <c r="J105" s="86"/>
      <c r="K105" s="86"/>
    </row>
    <row r="106" spans="1:11" outlineLevel="1">
      <c r="A106" s="1" t="s">
        <v>18</v>
      </c>
      <c r="G106" s="86"/>
      <c r="H106" s="86"/>
      <c r="I106" s="86"/>
      <c r="J106" s="86"/>
      <c r="K106" s="86"/>
    </row>
    <row r="107" spans="1:11" outlineLevel="1">
      <c r="A107" s="120" t="s">
        <v>312</v>
      </c>
      <c r="B107" s="130"/>
      <c r="C107" s="130"/>
      <c r="D107" s="130"/>
      <c r="E107" s="130"/>
      <c r="F107" s="130"/>
      <c r="G107" s="131"/>
      <c r="H107" s="131"/>
      <c r="I107" s="131"/>
      <c r="J107" s="131"/>
      <c r="K107" s="131"/>
    </row>
    <row r="108" spans="1:11" outlineLevel="1">
      <c r="A108" s="2" t="s">
        <v>316</v>
      </c>
      <c r="B108" s="124">
        <v>499647</v>
      </c>
      <c r="C108" s="124">
        <v>936222</v>
      </c>
      <c r="D108" s="124">
        <v>1313851</v>
      </c>
      <c r="E108" s="124">
        <v>1808581</v>
      </c>
      <c r="F108" s="124">
        <v>1789266</v>
      </c>
      <c r="G108" s="129">
        <f>F108*(1+G109)</f>
        <v>1968192.6</v>
      </c>
      <c r="H108" s="129">
        <f t="shared" ref="H108:K108" si="54">G108*(1+H109)</f>
        <v>2125648.0080000004</v>
      </c>
      <c r="I108" s="129">
        <f t="shared" si="54"/>
        <v>2274443.3685600003</v>
      </c>
      <c r="J108" s="129">
        <f t="shared" si="54"/>
        <v>2388165.5369880004</v>
      </c>
      <c r="K108" s="129">
        <f t="shared" si="54"/>
        <v>2507573.8138374006</v>
      </c>
    </row>
    <row r="109" spans="1:11" outlineLevel="1">
      <c r="A109" s="20" t="s">
        <v>19</v>
      </c>
      <c r="C109" s="10">
        <f>C108/B108-1</f>
        <v>0.87376687941686826</v>
      </c>
      <c r="D109" s="10">
        <f t="shared" ref="D109:F109" si="55">D108/C108-1</f>
        <v>0.40335411900168983</v>
      </c>
      <c r="E109" s="10">
        <f t="shared" si="55"/>
        <v>0.37654954785588313</v>
      </c>
      <c r="F109" s="10">
        <f t="shared" si="55"/>
        <v>-1.0679643322582755E-2</v>
      </c>
      <c r="G109" s="134">
        <f>G148</f>
        <v>0.1</v>
      </c>
      <c r="H109" s="134">
        <f t="shared" ref="H109:K109" si="56">H148</f>
        <v>0.08</v>
      </c>
      <c r="I109" s="134">
        <f t="shared" si="56"/>
        <v>7.0000000000000007E-2</v>
      </c>
      <c r="J109" s="134">
        <f t="shared" si="56"/>
        <v>0.05</v>
      </c>
      <c r="K109" s="134">
        <f t="shared" si="56"/>
        <v>0.05</v>
      </c>
    </row>
    <row r="110" spans="1:11" outlineLevel="1">
      <c r="A110" s="2" t="s">
        <v>22</v>
      </c>
      <c r="B110" s="9">
        <f>B96/B108</f>
        <v>5.4510484401987802E-2</v>
      </c>
      <c r="C110" s="9">
        <f>C96/C108</f>
        <v>5.0449572857719643E-2</v>
      </c>
      <c r="D110" s="9">
        <f>D96/D108</f>
        <v>5.4391251367164162E-2</v>
      </c>
      <c r="E110" s="9">
        <f>E96/E108</f>
        <v>4.5571085840225019E-2</v>
      </c>
      <c r="F110" s="9">
        <f>F96/F108</f>
        <v>4.3073528474804751E-2</v>
      </c>
      <c r="G110" s="9">
        <f>F110*(1+G111)</f>
        <v>4.0273749123942444E-2</v>
      </c>
      <c r="H110" s="9">
        <f t="shared" ref="H110:K110" si="57">G110*(1+H111)</f>
        <v>3.9065536650224171E-2</v>
      </c>
      <c r="I110" s="9">
        <f t="shared" si="57"/>
        <v>3.8674881283721929E-2</v>
      </c>
      <c r="J110" s="9">
        <f t="shared" si="57"/>
        <v>3.8481506877303319E-2</v>
      </c>
      <c r="K110" s="9">
        <f t="shared" si="57"/>
        <v>3.8481506877303319E-2</v>
      </c>
    </row>
    <row r="111" spans="1:11" outlineLevel="1">
      <c r="A111" s="20" t="s">
        <v>20</v>
      </c>
      <c r="C111" s="10">
        <f>C110/B110-1</f>
        <v>-7.4497806959867519E-2</v>
      </c>
      <c r="D111" s="10">
        <f t="shared" ref="D111:F111" si="58">D110/C110-1</f>
        <v>7.8131058127311359E-2</v>
      </c>
      <c r="E111" s="10">
        <f t="shared" si="58"/>
        <v>-0.16216147459817132</v>
      </c>
      <c r="F111" s="10">
        <f t="shared" si="58"/>
        <v>-5.4805746217609475E-2</v>
      </c>
      <c r="G111" s="128">
        <v>-6.5000000000000002E-2</v>
      </c>
      <c r="H111" s="128">
        <v>-0.03</v>
      </c>
      <c r="I111" s="128">
        <v>-0.01</v>
      </c>
      <c r="J111" s="128">
        <v>-5.0000000000000001E-3</v>
      </c>
      <c r="K111" s="128">
        <v>0</v>
      </c>
    </row>
    <row r="112" spans="1:11" outlineLevel="1">
      <c r="A112" s="2" t="s">
        <v>23</v>
      </c>
      <c r="B112" s="9">
        <f>B101/B108</f>
        <v>4.0546625917898038E-2</v>
      </c>
      <c r="C112" s="9">
        <f>C101/C108</f>
        <v>3.5667822375462233E-2</v>
      </c>
      <c r="D112" s="9">
        <f>D101/D108</f>
        <v>3.8899388134575379E-2</v>
      </c>
      <c r="E112" s="9">
        <f>E101/E108</f>
        <v>3.6707783615995082E-2</v>
      </c>
      <c r="F112" s="9">
        <f>F101/F108</f>
        <v>3.5138989954540019E-2</v>
      </c>
      <c r="G112" s="9">
        <f>F112*(1+G113)</f>
        <v>3.4295654195631055E-2</v>
      </c>
      <c r="H112" s="9">
        <f t="shared" ref="H112:K112" si="59">G112*(1+H113)</f>
        <v>3.3506854149131543E-2</v>
      </c>
      <c r="I112" s="9">
        <f t="shared" si="59"/>
        <v>3.2803210211999778E-2</v>
      </c>
      <c r="J112" s="9">
        <f t="shared" si="59"/>
        <v>3.2212752428183784E-2</v>
      </c>
      <c r="K112" s="9">
        <f t="shared" si="59"/>
        <v>3.1826199399045581E-2</v>
      </c>
    </row>
    <row r="113" spans="1:11" outlineLevel="1">
      <c r="A113" s="20" t="s">
        <v>21</v>
      </c>
      <c r="C113" s="10">
        <f>C112/B112-1</f>
        <v>-0.12032575909805132</v>
      </c>
      <c r="D113" s="10">
        <f t="shared" ref="D113:F113" si="60">D112/C112-1</f>
        <v>9.0601711679945796E-2</v>
      </c>
      <c r="E113" s="10">
        <f t="shared" si="60"/>
        <v>-5.6340333966135248E-2</v>
      </c>
      <c r="F113" s="10">
        <f t="shared" si="60"/>
        <v>-4.2737357228276651E-2</v>
      </c>
      <c r="G113" s="134">
        <f>G152</f>
        <v>-2.4E-2</v>
      </c>
      <c r="H113" s="134">
        <f t="shared" ref="H113:K113" si="61">H152</f>
        <v>-2.3E-2</v>
      </c>
      <c r="I113" s="134">
        <f t="shared" si="61"/>
        <v>-2.1000000000000001E-2</v>
      </c>
      <c r="J113" s="134">
        <f t="shared" si="61"/>
        <v>-1.8000000000000002E-2</v>
      </c>
      <c r="K113" s="134">
        <f t="shared" si="61"/>
        <v>-1.2E-2</v>
      </c>
    </row>
    <row r="114" spans="1:11" outlineLevel="1">
      <c r="A114" s="20"/>
      <c r="C114" s="10"/>
      <c r="D114" s="10"/>
      <c r="E114" s="10"/>
      <c r="F114" s="10"/>
      <c r="G114" s="128"/>
      <c r="H114" s="128"/>
      <c r="I114" s="128"/>
      <c r="J114" s="128"/>
      <c r="K114" s="128"/>
    </row>
    <row r="115" spans="1:11" outlineLevel="1">
      <c r="A115" s="12" t="s">
        <v>2</v>
      </c>
      <c r="B115" s="3"/>
      <c r="C115" s="3"/>
      <c r="D115" s="3"/>
      <c r="E115" s="3"/>
      <c r="F115" s="3"/>
      <c r="G115" s="127"/>
      <c r="H115" s="127"/>
      <c r="I115" s="127"/>
      <c r="J115" s="127"/>
      <c r="K115" s="127"/>
    </row>
    <row r="116" spans="1:11" outlineLevel="1">
      <c r="A116" s="2" t="s">
        <v>25</v>
      </c>
      <c r="C116" s="10">
        <f>C97/B97-1</f>
        <v>0.3986960882647943</v>
      </c>
      <c r="D116" s="10">
        <f>D97/C97-1</f>
        <v>0.40157762638938688</v>
      </c>
      <c r="E116" s="10">
        <f>E97/D97-1</f>
        <v>0.54387311332821686</v>
      </c>
      <c r="F116" s="10">
        <f>F97/E97-1</f>
        <v>0.67125103562551791</v>
      </c>
      <c r="G116" s="134">
        <f>G149</f>
        <v>0.5</v>
      </c>
      <c r="H116" s="134">
        <f t="shared" ref="H116:K116" si="62">H149</f>
        <v>0.35</v>
      </c>
      <c r="I116" s="134">
        <f t="shared" si="62"/>
        <v>0.25</v>
      </c>
      <c r="J116" s="134">
        <f t="shared" si="62"/>
        <v>0.2</v>
      </c>
      <c r="K116" s="134">
        <f t="shared" si="62"/>
        <v>0.15</v>
      </c>
    </row>
    <row r="117" spans="1:11" outlineLevel="1">
      <c r="A117" s="2" t="s">
        <v>24</v>
      </c>
      <c r="B117" s="10">
        <f>1-B102/B97</f>
        <v>9.0270812437311942E-3</v>
      </c>
      <c r="C117" s="10">
        <f>1-C102/C97</f>
        <v>-4.6253137325206195E-2</v>
      </c>
      <c r="D117" s="10">
        <f>1-D102/D97</f>
        <v>7.3676132003069883E-2</v>
      </c>
      <c r="E117" s="10">
        <f>1-E102/E97</f>
        <v>0.18906379453189726</v>
      </c>
      <c r="F117" s="10">
        <f>1-F102/F97</f>
        <v>0.26174895895300421</v>
      </c>
      <c r="G117" s="134">
        <f>G153</f>
        <v>0.28000000000000003</v>
      </c>
      <c r="H117" s="134">
        <f t="shared" ref="H117:K117" si="63">H153</f>
        <v>0.3</v>
      </c>
      <c r="I117" s="134">
        <f t="shared" si="63"/>
        <v>0.32</v>
      </c>
      <c r="J117" s="134">
        <f t="shared" si="63"/>
        <v>0.33</v>
      </c>
      <c r="K117" s="134">
        <f t="shared" si="63"/>
        <v>0.34</v>
      </c>
    </row>
    <row r="118" spans="1:11" outlineLevel="1">
      <c r="A118" s="1"/>
      <c r="G118" s="86"/>
      <c r="H118" s="86"/>
      <c r="I118" s="86"/>
      <c r="J118" s="86"/>
      <c r="K118" s="86"/>
    </row>
    <row r="119" spans="1:11" outlineLevel="1">
      <c r="A119" s="132" t="s">
        <v>3</v>
      </c>
      <c r="B119" s="3"/>
      <c r="C119" s="3"/>
      <c r="D119" s="3"/>
      <c r="E119" s="3"/>
      <c r="F119" s="3"/>
      <c r="G119" s="127"/>
      <c r="H119" s="127"/>
      <c r="I119" s="127"/>
      <c r="J119" s="127"/>
      <c r="K119" s="127"/>
    </row>
    <row r="120" spans="1:11" outlineLevel="1">
      <c r="A120" s="2" t="s">
        <v>26</v>
      </c>
      <c r="C120" s="10">
        <f>C98/B98-1</f>
        <v>0.64874241110147435</v>
      </c>
      <c r="D120" s="10">
        <f>D98/C98-1</f>
        <v>0.60205155181483438</v>
      </c>
      <c r="E120" s="10">
        <f>E98/D98-1</f>
        <v>0.36578558528977179</v>
      </c>
      <c r="F120" s="10">
        <f>F98/E98-1</f>
        <v>0.26625796369755972</v>
      </c>
      <c r="G120" s="134">
        <f>G150</f>
        <v>0.2</v>
      </c>
      <c r="H120" s="134">
        <f t="shared" ref="H120:K120" si="64">H150</f>
        <v>0.18</v>
      </c>
      <c r="I120" s="134">
        <f t="shared" si="64"/>
        <v>0.15</v>
      </c>
      <c r="J120" s="134">
        <f t="shared" si="64"/>
        <v>0.12</v>
      </c>
      <c r="K120" s="134">
        <f t="shared" si="64"/>
        <v>0.1</v>
      </c>
    </row>
    <row r="121" spans="1:11" outlineLevel="1">
      <c r="A121" s="2" t="s">
        <v>27</v>
      </c>
      <c r="B121" s="10">
        <f>1-B103/B98</f>
        <v>-0.15828274067649617</v>
      </c>
      <c r="C121" s="10">
        <f>1-C103/C98</f>
        <v>-2.7354024197790539E-2</v>
      </c>
      <c r="D121" s="10">
        <f>1-D103/D98</f>
        <v>3.464127401083561E-2</v>
      </c>
      <c r="E121" s="10">
        <f>1-E103/E98</f>
        <v>5.8781103498016574E-2</v>
      </c>
      <c r="F121" s="10">
        <f>1-F103/F98</f>
        <v>5.8192519460793624E-2</v>
      </c>
      <c r="G121" s="134">
        <f>G154</f>
        <v>0.06</v>
      </c>
      <c r="H121" s="134">
        <f t="shared" ref="H121:K121" si="65">H154</f>
        <v>6.5000000000000002E-2</v>
      </c>
      <c r="I121" s="134">
        <f t="shared" si="65"/>
        <v>6.5000000000000002E-2</v>
      </c>
      <c r="J121" s="134">
        <f t="shared" si="65"/>
        <v>7.0000000000000007E-2</v>
      </c>
      <c r="K121" s="134">
        <f t="shared" si="65"/>
        <v>7.0000000000000007E-2</v>
      </c>
    </row>
    <row r="122" spans="1:11" ht="17" thickBot="1">
      <c r="A122" s="2"/>
      <c r="B122" s="10"/>
      <c r="C122" s="10"/>
      <c r="D122" s="10"/>
      <c r="E122" s="10"/>
      <c r="F122" s="10"/>
      <c r="G122" s="128"/>
      <c r="H122" s="128"/>
      <c r="I122" s="128"/>
      <c r="J122" s="128"/>
      <c r="K122" s="128"/>
    </row>
    <row r="123" spans="1:11" ht="23" thickBot="1">
      <c r="A123" s="155" t="s">
        <v>196</v>
      </c>
      <c r="B123" s="156"/>
      <c r="C123" s="156"/>
      <c r="D123" s="156"/>
      <c r="E123" s="156"/>
      <c r="F123" s="156"/>
      <c r="G123" s="156"/>
      <c r="H123" s="156"/>
      <c r="I123" s="156"/>
      <c r="J123" s="156"/>
      <c r="K123" s="157"/>
    </row>
    <row r="124" spans="1:11" outlineLevel="1">
      <c r="A124" t="s">
        <v>85</v>
      </c>
      <c r="B124" s="69">
        <f t="shared" ref="B124:F125" si="66">B40</f>
        <v>31536</v>
      </c>
      <c r="C124" s="69">
        <f t="shared" si="66"/>
        <v>53823</v>
      </c>
      <c r="D124" s="69">
        <f t="shared" si="66"/>
        <v>81462</v>
      </c>
      <c r="E124" s="69">
        <f t="shared" si="66"/>
        <v>96773</v>
      </c>
      <c r="F124" s="69">
        <f t="shared" si="66"/>
        <v>97690</v>
      </c>
      <c r="G124" s="69">
        <f>G99</f>
        <v>107036.29500000001</v>
      </c>
      <c r="H124" s="69">
        <f>H99</f>
        <v>118379.87416200002</v>
      </c>
      <c r="I124" s="69">
        <f>I99</f>
        <v>130647.58036560661</v>
      </c>
      <c r="J124" s="69">
        <f>J99</f>
        <v>141748.42700774252</v>
      </c>
      <c r="K124" s="69">
        <f>K99</f>
        <v>152860.07053172964</v>
      </c>
    </row>
    <row r="125" spans="1:11" outlineLevel="1">
      <c r="A125" t="s">
        <v>162</v>
      </c>
      <c r="B125" s="68">
        <f t="shared" si="66"/>
        <v>22584</v>
      </c>
      <c r="C125" s="68">
        <f t="shared" si="66"/>
        <v>37306</v>
      </c>
      <c r="D125" s="68">
        <f t="shared" si="66"/>
        <v>56862</v>
      </c>
      <c r="E125" s="68">
        <f t="shared" si="66"/>
        <v>74446</v>
      </c>
      <c r="F125" s="68">
        <f t="shared" si="66"/>
        <v>74872</v>
      </c>
      <c r="G125" s="68">
        <f>G104</f>
        <v>87494.708800000008</v>
      </c>
      <c r="H125" s="68">
        <f>H104</f>
        <v>95961.983576448009</v>
      </c>
      <c r="I125" s="68">
        <f>I104</f>
        <v>103633.99604216257</v>
      </c>
      <c r="J125" s="68">
        <f>J104</f>
        <v>110327.69157675504</v>
      </c>
      <c r="K125" s="68">
        <f>K104</f>
        <v>117007.34624268631</v>
      </c>
    </row>
    <row r="126" spans="1:11" outlineLevel="1">
      <c r="A126" t="s">
        <v>164</v>
      </c>
      <c r="B126" s="68">
        <f>B46</f>
        <v>2322</v>
      </c>
      <c r="C126" s="68">
        <f>C46</f>
        <v>2911</v>
      </c>
      <c r="D126" s="68">
        <f>D46</f>
        <v>3747</v>
      </c>
      <c r="E126" s="68">
        <f>E46</f>
        <v>4667</v>
      </c>
      <c r="F126" s="68">
        <f>F46</f>
        <v>5368</v>
      </c>
      <c r="G126" s="93">
        <f>G155*G124</f>
        <v>5886.9962250000008</v>
      </c>
      <c r="H126" s="93">
        <f>H155*H124</f>
        <v>6510.8930789100013</v>
      </c>
      <c r="I126" s="93">
        <f>I155*I124</f>
        <v>7185.616920108364</v>
      </c>
      <c r="J126" s="93">
        <f>J155*J124</f>
        <v>7796.1634854258382</v>
      </c>
      <c r="K126" s="93">
        <f>K155*K124</f>
        <v>8407.3038792451298</v>
      </c>
    </row>
    <row r="127" spans="1:11" outlineLevel="1">
      <c r="A127" t="s">
        <v>157</v>
      </c>
      <c r="B127" s="68">
        <f t="shared" ref="B127:F128" si="67">B43</f>
        <v>1491</v>
      </c>
      <c r="C127" s="68">
        <f t="shared" si="67"/>
        <v>2593</v>
      </c>
      <c r="D127" s="68">
        <f t="shared" si="67"/>
        <v>3075</v>
      </c>
      <c r="E127" s="68">
        <f t="shared" si="67"/>
        <v>3969</v>
      </c>
      <c r="F127" s="68">
        <f t="shared" si="67"/>
        <v>4540</v>
      </c>
      <c r="G127" s="93">
        <f>G156*G124</f>
        <v>4816.6332750000001</v>
      </c>
      <c r="H127" s="93">
        <f>H156*H124</f>
        <v>5327.094337290001</v>
      </c>
      <c r="I127" s="93">
        <f>I156*I124</f>
        <v>5879.141116452297</v>
      </c>
      <c r="J127" s="93">
        <f>J156*J124</f>
        <v>6378.679215348413</v>
      </c>
      <c r="K127" s="93">
        <f>K156*K124</f>
        <v>6878.7031739278336</v>
      </c>
    </row>
    <row r="128" spans="1:11" outlineLevel="1">
      <c r="A128" t="s">
        <v>158</v>
      </c>
      <c r="B128" s="68">
        <f t="shared" si="67"/>
        <v>3145</v>
      </c>
      <c r="C128" s="68">
        <f t="shared" si="67"/>
        <v>4517</v>
      </c>
      <c r="D128" s="68">
        <f t="shared" si="67"/>
        <v>3946</v>
      </c>
      <c r="E128" s="68">
        <f t="shared" si="67"/>
        <v>4800</v>
      </c>
      <c r="F128" s="68">
        <f t="shared" si="67"/>
        <v>5150</v>
      </c>
      <c r="G128" s="93">
        <f>G157*G124</f>
        <v>5351.8147500000014</v>
      </c>
      <c r="H128" s="93">
        <f>H157*H124</f>
        <v>5918.9937081000016</v>
      </c>
      <c r="I128" s="93">
        <f>I157*I124</f>
        <v>6532.3790182803314</v>
      </c>
      <c r="J128" s="93">
        <f>J157*J124</f>
        <v>7087.421350387126</v>
      </c>
      <c r="K128" s="93">
        <f>K157*K124</f>
        <v>7643.0035265864826</v>
      </c>
    </row>
    <row r="129" spans="1:11" outlineLevel="1">
      <c r="A129" t="s">
        <v>103</v>
      </c>
      <c r="B129" s="68">
        <f>B49</f>
        <v>30</v>
      </c>
      <c r="C129" s="68">
        <f>C49</f>
        <v>56</v>
      </c>
      <c r="D129" s="68">
        <f>D49</f>
        <v>297</v>
      </c>
      <c r="E129" s="68">
        <f>E49</f>
        <v>1066</v>
      </c>
      <c r="F129" s="68">
        <f>F49</f>
        <v>1569</v>
      </c>
      <c r="G129" s="93">
        <f>G158*SUM(F7:F8)</f>
        <v>968.33999999999992</v>
      </c>
      <c r="H129" s="93">
        <f>H158*SUM(G7:G8)</f>
        <v>1091.770209</v>
      </c>
      <c r="I129" s="93">
        <f>I158*SUM(H7:H8)</f>
        <v>1207.4747164524003</v>
      </c>
      <c r="J129" s="93">
        <f>J158*SUM(I7:I8)</f>
        <v>1332.6053197291874</v>
      </c>
      <c r="K129" s="93">
        <f>K158*SUM(J7:J8)</f>
        <v>1445.8339554789738</v>
      </c>
    </row>
    <row r="130" spans="1:11" outlineLevel="1">
      <c r="A130" t="s">
        <v>104</v>
      </c>
      <c r="B130" s="68">
        <f>-B50</f>
        <v>748</v>
      </c>
      <c r="C130" s="68">
        <f>-C50</f>
        <v>371</v>
      </c>
      <c r="D130" s="68">
        <f>-D50</f>
        <v>191</v>
      </c>
      <c r="E130" s="68">
        <f>-E50</f>
        <v>156</v>
      </c>
      <c r="F130" s="68">
        <f>-F50</f>
        <v>350</v>
      </c>
      <c r="G130" s="93">
        <f>G159*SUM(F141:F142)</f>
        <v>369.58499999999998</v>
      </c>
      <c r="H130" s="93">
        <f>H159*SUM(G141:G142)</f>
        <v>263.7</v>
      </c>
      <c r="I130" s="93">
        <f>I159*SUM(H141:H142)</f>
        <v>78.48</v>
      </c>
      <c r="J130" s="93">
        <f>J159*SUM(I141:I142)</f>
        <v>47.024999999999999</v>
      </c>
      <c r="K130" s="93">
        <f>K159*SUM(J141:J142)</f>
        <v>36.089999999999996</v>
      </c>
    </row>
    <row r="131" spans="1:11" outlineLevel="1">
      <c r="A131" t="s">
        <v>161</v>
      </c>
      <c r="B131" s="68">
        <f t="shared" ref="B131:K131" si="68">B53</f>
        <v>292</v>
      </c>
      <c r="C131" s="68">
        <f t="shared" si="68"/>
        <v>699</v>
      </c>
      <c r="D131" s="68">
        <f t="shared" si="68"/>
        <v>1132</v>
      </c>
      <c r="E131" s="68">
        <f t="shared" si="68"/>
        <v>-5001</v>
      </c>
      <c r="F131" s="68">
        <f t="shared" si="68"/>
        <v>1837</v>
      </c>
      <c r="G131" s="68">
        <f t="shared" si="68"/>
        <v>653.5835120000005</v>
      </c>
      <c r="H131" s="68">
        <f t="shared" si="68"/>
        <v>878.23674724032162</v>
      </c>
      <c r="I131" s="68">
        <f t="shared" si="68"/>
        <v>1367.2707176088716</v>
      </c>
      <c r="J131" s="68">
        <f t="shared" si="68"/>
        <v>1831.0482719288466</v>
      </c>
      <c r="K131" s="68">
        <f t="shared" si="68"/>
        <v>2293.3532263620573</v>
      </c>
    </row>
    <row r="132" spans="1:11" outlineLevel="1">
      <c r="A132" t="s">
        <v>194</v>
      </c>
      <c r="B132" s="69">
        <f>B7</f>
        <v>19384</v>
      </c>
      <c r="C132" s="69">
        <f>C7</f>
        <v>17576</v>
      </c>
      <c r="D132" s="69">
        <f>D7</f>
        <v>16253</v>
      </c>
      <c r="E132" s="69">
        <f>E7</f>
        <v>16398</v>
      </c>
      <c r="F132" s="69">
        <f>F7</f>
        <v>16139</v>
      </c>
      <c r="G132" s="93">
        <f>G124*G161</f>
        <v>18196.170150000002</v>
      </c>
      <c r="H132" s="93">
        <f>H124*H161</f>
        <v>20124.578607540006</v>
      </c>
      <c r="I132" s="93">
        <f>I124*I161</f>
        <v>22210.088662153124</v>
      </c>
      <c r="J132" s="93">
        <f>J124*J161</f>
        <v>24097.232591316231</v>
      </c>
      <c r="K132" s="93">
        <f>K124*K161</f>
        <v>25986.21199039404</v>
      </c>
    </row>
    <row r="133" spans="1:11" outlineLevel="1">
      <c r="A133" t="s">
        <v>13</v>
      </c>
      <c r="B133" s="68">
        <f t="shared" ref="B133:F136" si="69">B9</f>
        <v>0</v>
      </c>
      <c r="C133" s="68">
        <f t="shared" si="69"/>
        <v>131</v>
      </c>
      <c r="D133" s="68">
        <f t="shared" si="69"/>
        <v>5932</v>
      </c>
      <c r="E133" s="68">
        <f t="shared" si="69"/>
        <v>12696</v>
      </c>
      <c r="F133" s="68">
        <f t="shared" si="69"/>
        <v>20424</v>
      </c>
      <c r="G133" s="93">
        <f>G124*G162</f>
        <v>16055.44425</v>
      </c>
      <c r="H133" s="93">
        <f>H124*H162</f>
        <v>17756.981124300004</v>
      </c>
      <c r="I133" s="93">
        <f>I124*I162</f>
        <v>19597.13705484099</v>
      </c>
      <c r="J133" s="93">
        <f>J124*J162</f>
        <v>21262.264051161375</v>
      </c>
      <c r="K133" s="93">
        <f>K124*K162</f>
        <v>22929.010579759444</v>
      </c>
    </row>
    <row r="134" spans="1:11" outlineLevel="1">
      <c r="A134" t="s">
        <v>49</v>
      </c>
      <c r="B134" s="68">
        <f t="shared" si="69"/>
        <v>1886</v>
      </c>
      <c r="C134" s="68">
        <f t="shared" si="69"/>
        <v>1913</v>
      </c>
      <c r="D134" s="68">
        <f t="shared" si="69"/>
        <v>2952</v>
      </c>
      <c r="E134" s="68">
        <f t="shared" si="69"/>
        <v>3508</v>
      </c>
      <c r="F134" s="68">
        <f t="shared" si="69"/>
        <v>4418</v>
      </c>
      <c r="G134" s="93">
        <f t="shared" ref="G134:K135" si="70">G163*G124</f>
        <v>4388.4880950000006</v>
      </c>
      <c r="H134" s="93">
        <f t="shared" si="70"/>
        <v>4853.5748406420007</v>
      </c>
      <c r="I134" s="93">
        <f t="shared" si="70"/>
        <v>5356.5507949898711</v>
      </c>
      <c r="J134" s="93">
        <f t="shared" si="70"/>
        <v>5811.6855073174438</v>
      </c>
      <c r="K134" s="93">
        <f t="shared" si="70"/>
        <v>6267.262891800915</v>
      </c>
    </row>
    <row r="135" spans="1:11" outlineLevel="1">
      <c r="A135" t="s">
        <v>14</v>
      </c>
      <c r="B135" s="68">
        <f t="shared" si="69"/>
        <v>4101</v>
      </c>
      <c r="C135" s="68">
        <f t="shared" si="69"/>
        <v>5757</v>
      </c>
      <c r="D135" s="68">
        <f t="shared" si="69"/>
        <v>12839</v>
      </c>
      <c r="E135" s="68">
        <f t="shared" si="69"/>
        <v>13626</v>
      </c>
      <c r="F135" s="68">
        <f t="shared" si="69"/>
        <v>12017</v>
      </c>
      <c r="G135" s="93">
        <f t="shared" si="70"/>
        <v>16186.521128</v>
      </c>
      <c r="H135" s="93">
        <f t="shared" si="70"/>
        <v>17752.96696164288</v>
      </c>
      <c r="I135" s="93">
        <f t="shared" si="70"/>
        <v>19172.289267800075</v>
      </c>
      <c r="J135" s="93">
        <f t="shared" si="70"/>
        <v>20410.622941699683</v>
      </c>
      <c r="K135" s="93">
        <f t="shared" si="70"/>
        <v>21646.359054896966</v>
      </c>
    </row>
    <row r="136" spans="1:11" outlineLevel="1">
      <c r="A136" t="s">
        <v>148</v>
      </c>
      <c r="B136" s="68">
        <f t="shared" si="69"/>
        <v>1346</v>
      </c>
      <c r="C136" s="68">
        <f t="shared" si="69"/>
        <v>1723</v>
      </c>
      <c r="D136" s="68">
        <f t="shared" si="69"/>
        <v>2941</v>
      </c>
      <c r="E136" s="68">
        <f t="shared" si="69"/>
        <v>3388</v>
      </c>
      <c r="F136" s="68">
        <f t="shared" si="69"/>
        <v>5362</v>
      </c>
      <c r="G136" s="93">
        <f>G165*G124</f>
        <v>4281.4518000000007</v>
      </c>
      <c r="H136" s="93">
        <f>H165*H124</f>
        <v>4735.1949664800013</v>
      </c>
      <c r="I136" s="93">
        <f>I165*I124</f>
        <v>5225.9032146242644</v>
      </c>
      <c r="J136" s="93">
        <f>J165*J124</f>
        <v>5669.9370803097008</v>
      </c>
      <c r="K136" s="93">
        <f>K165*K124</f>
        <v>6114.4028212691856</v>
      </c>
    </row>
    <row r="137" spans="1:11" outlineLevel="1">
      <c r="A137" t="s">
        <v>146</v>
      </c>
      <c r="B137" s="68">
        <f>B15</f>
        <v>12477</v>
      </c>
      <c r="C137" s="68">
        <f>C15</f>
        <v>15947</v>
      </c>
      <c r="D137" s="68">
        <f>D15</f>
        <v>17679</v>
      </c>
      <c r="E137" s="68">
        <f>E15</f>
        <v>27024</v>
      </c>
      <c r="F137" s="68">
        <f>F15</f>
        <v>27630</v>
      </c>
      <c r="G137" s="93">
        <f>G124*G166</f>
        <v>27829.436700000006</v>
      </c>
      <c r="H137" s="93">
        <f>H124*H166</f>
        <v>30778.767282120007</v>
      </c>
      <c r="I137" s="93">
        <f>I124*I166</f>
        <v>33968.37089505772</v>
      </c>
      <c r="J137" s="93">
        <f>J124*J166</f>
        <v>36854.591022013054</v>
      </c>
      <c r="K137" s="93">
        <f>K124*K166</f>
        <v>39743.618338249704</v>
      </c>
    </row>
    <row r="138" spans="1:11" outlineLevel="1">
      <c r="A138" t="s">
        <v>149</v>
      </c>
      <c r="B138" s="68">
        <f t="shared" ref="B138:F139" si="71">B19</f>
        <v>10658</v>
      </c>
      <c r="C138" s="68">
        <f t="shared" si="71"/>
        <v>16669</v>
      </c>
      <c r="D138" s="68">
        <f t="shared" si="71"/>
        <v>23460</v>
      </c>
      <c r="E138" s="68">
        <f t="shared" si="71"/>
        <v>23511</v>
      </c>
      <c r="F138" s="68">
        <f t="shared" si="71"/>
        <v>23197</v>
      </c>
      <c r="G138" s="93">
        <f>G167*G125</f>
        <v>27123.359728000003</v>
      </c>
      <c r="H138" s="93">
        <f>H167*H125</f>
        <v>29748.214908698883</v>
      </c>
      <c r="I138" s="93">
        <f>I167*I125</f>
        <v>32126.538773070399</v>
      </c>
      <c r="J138" s="93">
        <f>J167*J125</f>
        <v>34201.584388794065</v>
      </c>
      <c r="K138" s="93">
        <f>K167*K125</f>
        <v>36272.277335232757</v>
      </c>
    </row>
    <row r="139" spans="1:11" outlineLevel="1">
      <c r="A139" t="s">
        <v>263</v>
      </c>
      <c r="B139" s="68">
        <f t="shared" si="71"/>
        <v>1458</v>
      </c>
      <c r="C139" s="68">
        <f t="shared" si="71"/>
        <v>1447</v>
      </c>
      <c r="D139" s="68">
        <f t="shared" si="71"/>
        <v>1747</v>
      </c>
      <c r="E139" s="68">
        <f t="shared" si="71"/>
        <v>2864</v>
      </c>
      <c r="F139" s="68">
        <f t="shared" si="71"/>
        <v>3168</v>
      </c>
      <c r="G139" s="93">
        <f>G124*G168</f>
        <v>3211.0888500000001</v>
      </c>
      <c r="H139" s="93">
        <f>H124*H168</f>
        <v>3551.3962248600005</v>
      </c>
      <c r="I139" s="93">
        <f>I124*I168</f>
        <v>3919.4274109681983</v>
      </c>
      <c r="J139" s="93">
        <f>J124*J168</f>
        <v>4252.4528102322756</v>
      </c>
      <c r="K139" s="93">
        <f>K124*K168</f>
        <v>4585.8021159518894</v>
      </c>
    </row>
    <row r="140" spans="1:11" outlineLevel="1">
      <c r="A140" t="s">
        <v>264</v>
      </c>
      <c r="B140" s="68">
        <f>B23</f>
        <v>4614</v>
      </c>
      <c r="C140" s="68">
        <f>C23</f>
        <v>5598</v>
      </c>
      <c r="D140" s="68">
        <f>D23</f>
        <v>8134</v>
      </c>
      <c r="E140" s="68">
        <f>E23</f>
        <v>11404</v>
      </c>
      <c r="F140" s="68">
        <f>F23</f>
        <v>13812</v>
      </c>
      <c r="G140" s="93">
        <f>SUM(G125:G128)*G169</f>
        <v>13979.270661750003</v>
      </c>
      <c r="H140" s="93">
        <f>SUM(H125:H128)*H169</f>
        <v>15352.060234600982</v>
      </c>
      <c r="I140" s="93">
        <f>SUM(I125:I128)*I169</f>
        <v>16636.202968095484</v>
      </c>
      <c r="J140" s="93">
        <f>SUM(J125:J128)*J169</f>
        <v>17764.644009768715</v>
      </c>
      <c r="K140" s="93">
        <f>SUM(K125:K128)*K169</f>
        <v>18891.40817103018</v>
      </c>
    </row>
    <row r="141" spans="1:11" outlineLevel="1">
      <c r="A141" t="s">
        <v>197</v>
      </c>
      <c r="B141" s="68"/>
      <c r="C141" s="68"/>
      <c r="D141" s="68"/>
      <c r="E141" s="68"/>
      <c r="F141" s="68"/>
      <c r="G141" s="92"/>
      <c r="H141" s="92"/>
      <c r="I141" s="92"/>
      <c r="J141" s="92"/>
      <c r="K141" s="92"/>
    </row>
    <row r="142" spans="1:11" outlineLevel="1">
      <c r="A142" t="s">
        <v>150</v>
      </c>
      <c r="B142" s="68">
        <f>B22</f>
        <v>11739</v>
      </c>
      <c r="C142" s="68">
        <f>C22</f>
        <v>6834</v>
      </c>
      <c r="D142" s="68">
        <f>D22</f>
        <v>3099</v>
      </c>
      <c r="E142" s="68">
        <f>E22</f>
        <v>5230</v>
      </c>
      <c r="F142" s="68">
        <f>F22</f>
        <v>8213</v>
      </c>
      <c r="G142" s="93">
        <f>F142+G170</f>
        <v>5860</v>
      </c>
      <c r="H142" s="93">
        <f>G142+H170</f>
        <v>1744</v>
      </c>
      <c r="I142" s="93">
        <f>H142+I170</f>
        <v>1045</v>
      </c>
      <c r="J142" s="93">
        <f>I142+J170</f>
        <v>802</v>
      </c>
      <c r="K142" s="93">
        <f>J142+K170</f>
        <v>707</v>
      </c>
    </row>
    <row r="143" spans="1:11" outlineLevel="1">
      <c r="A143" t="s">
        <v>171</v>
      </c>
      <c r="B143" s="68">
        <f>-B74</f>
        <v>3157</v>
      </c>
      <c r="C143" s="68">
        <f>-C74</f>
        <v>6482</v>
      </c>
      <c r="D143" s="68">
        <f>-D74</f>
        <v>7158</v>
      </c>
      <c r="E143" s="68">
        <f>-E74</f>
        <v>8898</v>
      </c>
      <c r="F143" s="68">
        <f>-F74</f>
        <v>11339</v>
      </c>
      <c r="G143" s="93">
        <f>G124*G171</f>
        <v>10703.629500000003</v>
      </c>
      <c r="H143" s="93">
        <f>H124*H171</f>
        <v>11837.987416200003</v>
      </c>
      <c r="I143" s="93">
        <f>I124*I171</f>
        <v>13064.758036560663</v>
      </c>
      <c r="J143" s="93">
        <f>J124*J171</f>
        <v>14174.842700774252</v>
      </c>
      <c r="K143" s="93">
        <f>K124*K171</f>
        <v>15286.007053172965</v>
      </c>
    </row>
    <row r="144" spans="1:11" ht="17" thickBot="1"/>
    <row r="145" spans="1:11" ht="23" thickBot="1">
      <c r="A145" s="155" t="s">
        <v>198</v>
      </c>
      <c r="B145" s="156"/>
      <c r="C145" s="156"/>
      <c r="D145" s="156"/>
      <c r="E145" s="156"/>
      <c r="F145" s="156"/>
      <c r="G145" s="156"/>
      <c r="H145" s="156"/>
      <c r="I145" s="156"/>
      <c r="J145" s="156"/>
      <c r="K145" s="157"/>
    </row>
    <row r="146" spans="1:11">
      <c r="A146" s="154" t="s">
        <v>330</v>
      </c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</row>
    <row r="147" spans="1:11" outlineLevel="1">
      <c r="A147" s="137" t="s">
        <v>280</v>
      </c>
      <c r="B147" s="138"/>
      <c r="C147" s="138"/>
      <c r="D147" s="138"/>
      <c r="E147" s="138"/>
      <c r="F147" s="138"/>
      <c r="G147" s="138"/>
      <c r="H147" s="138"/>
      <c r="I147" s="138"/>
      <c r="J147" s="138"/>
      <c r="K147" s="139"/>
    </row>
    <row r="148" spans="1:11" outlineLevel="1">
      <c r="A148" s="140" t="s">
        <v>321</v>
      </c>
      <c r="B148" s="141"/>
      <c r="C148" s="142">
        <f>C109</f>
        <v>0.87376687941686826</v>
      </c>
      <c r="D148" s="142">
        <f>D109</f>
        <v>0.40335411900168983</v>
      </c>
      <c r="E148" s="142">
        <f>E109</f>
        <v>0.37654954785588313</v>
      </c>
      <c r="F148" s="142">
        <f>F109</f>
        <v>-1.0679643322582755E-2</v>
      </c>
      <c r="G148" s="134">
        <f>10%+CHOOSE($G$4,$I$176,$J$176,$K$176)</f>
        <v>0.1</v>
      </c>
      <c r="H148" s="134">
        <f>8%+CHOOSE($G$4,$I$176,$J$176,$K$176)</f>
        <v>0.08</v>
      </c>
      <c r="I148" s="134">
        <f>7%+CHOOSE($G$4,$I$176,$J$176,$K$176)</f>
        <v>7.0000000000000007E-2</v>
      </c>
      <c r="J148" s="134">
        <f>5%+CHOOSE($G$4,$I$176,$J$176,$K$176)</f>
        <v>0.05</v>
      </c>
      <c r="K148" s="143">
        <f>5%+CHOOSE($G$4,$I$176,$J$176,$K$176)</f>
        <v>0.05</v>
      </c>
    </row>
    <row r="149" spans="1:11" outlineLevel="1">
      <c r="A149" s="140" t="s">
        <v>322</v>
      </c>
      <c r="B149" s="141"/>
      <c r="C149" s="142">
        <f>C116</f>
        <v>0.3986960882647943</v>
      </c>
      <c r="D149" s="142">
        <f>D116</f>
        <v>0.40157762638938688</v>
      </c>
      <c r="E149" s="142">
        <f>E116</f>
        <v>0.54387311332821686</v>
      </c>
      <c r="F149" s="142">
        <f>F116</f>
        <v>0.67125103562551791</v>
      </c>
      <c r="G149" s="134">
        <f>50%+CHOOSE($G$4,$I$177,$J$177,$K$177)</f>
        <v>0.5</v>
      </c>
      <c r="H149" s="134">
        <f>35%+CHOOSE($G$4,$I$177,$J$177,$K$177)</f>
        <v>0.35</v>
      </c>
      <c r="I149" s="134">
        <f>25%+CHOOSE($G$4,$I$177,$J$177,$K$177)</f>
        <v>0.25</v>
      </c>
      <c r="J149" s="134">
        <f>20%+CHOOSE($G$4,$I$177,$J$177,$K$177)</f>
        <v>0.2</v>
      </c>
      <c r="K149" s="143">
        <f>15%+CHOOSE($G$4,$I$177,$J$177,$K$177)</f>
        <v>0.15</v>
      </c>
    </row>
    <row r="150" spans="1:11" outlineLevel="1">
      <c r="A150" s="140" t="s">
        <v>323</v>
      </c>
      <c r="B150" s="141"/>
      <c r="C150" s="142">
        <f>C120</f>
        <v>0.64874241110147435</v>
      </c>
      <c r="D150" s="142">
        <f>D120</f>
        <v>0.60205155181483438</v>
      </c>
      <c r="E150" s="142">
        <f>E120</f>
        <v>0.36578558528977179</v>
      </c>
      <c r="F150" s="142">
        <f>F120</f>
        <v>0.26625796369755972</v>
      </c>
      <c r="G150" s="134">
        <f>20%+CHOOSE($G$4,$I$178,$J$178,$K$178)</f>
        <v>0.2</v>
      </c>
      <c r="H150" s="134">
        <f>18%+CHOOSE($G$4,$I$178,$J$178,$K$178)</f>
        <v>0.18</v>
      </c>
      <c r="I150" s="134">
        <f>15%+CHOOSE($G$4,$I$178,$J$178,$K$178)</f>
        <v>0.15</v>
      </c>
      <c r="J150" s="134">
        <f>12%+CHOOSE($G$4,$I$178,$J$178,$K$178)</f>
        <v>0.12</v>
      </c>
      <c r="K150" s="143">
        <f>10%+CHOOSE($G$4,$I$178,$J$178,$K$178)</f>
        <v>0.1</v>
      </c>
    </row>
    <row r="151" spans="1:11" outlineLevel="1">
      <c r="A151" s="144" t="s">
        <v>314</v>
      </c>
      <c r="B151" s="141"/>
      <c r="C151" s="142"/>
      <c r="D151" s="142"/>
      <c r="E151" s="142"/>
      <c r="F151" s="142"/>
      <c r="G151" s="142"/>
      <c r="H151" s="78"/>
      <c r="I151" s="78"/>
      <c r="J151" s="78"/>
      <c r="K151" s="145"/>
    </row>
    <row r="152" spans="1:11" outlineLevel="1">
      <c r="A152" s="140" t="s">
        <v>324</v>
      </c>
      <c r="B152" s="141"/>
      <c r="C152" s="142">
        <f>C113</f>
        <v>-0.12032575909805132</v>
      </c>
      <c r="D152" s="142">
        <f>D113</f>
        <v>9.0601711679945796E-2</v>
      </c>
      <c r="E152" s="142">
        <f>E113</f>
        <v>-5.6340333966135248E-2</v>
      </c>
      <c r="F152" s="142">
        <f>F113</f>
        <v>-4.2737357228276651E-2</v>
      </c>
      <c r="G152" s="134">
        <f>-2.4%+CHOOSE($G$4,$I$179,$J$179,$K$179)</f>
        <v>-2.4E-2</v>
      </c>
      <c r="H152" s="134">
        <f>-2.3%+CHOOSE($G$4,$I$179,$J$179,$K$179)</f>
        <v>-2.3E-2</v>
      </c>
      <c r="I152" s="134">
        <f>-2.1%+CHOOSE($G$4,$I$179,$J$179,$K$179)</f>
        <v>-2.1000000000000001E-2</v>
      </c>
      <c r="J152" s="134">
        <f>-1.8%+CHOOSE($G$4,$I$179,$J$179,$K$179)</f>
        <v>-1.8000000000000002E-2</v>
      </c>
      <c r="K152" s="143">
        <f>-1.2%+CHOOSE($G$4,$I$179,$J$179,$K$179)</f>
        <v>-1.2E-2</v>
      </c>
    </row>
    <row r="153" spans="1:11" outlineLevel="1">
      <c r="A153" s="140" t="s">
        <v>325</v>
      </c>
      <c r="B153" s="141"/>
      <c r="C153" s="142">
        <f>C117</f>
        <v>-4.6253137325206195E-2</v>
      </c>
      <c r="D153" s="142">
        <f>D117</f>
        <v>7.3676132003069883E-2</v>
      </c>
      <c r="E153" s="142">
        <f>E117</f>
        <v>0.18906379453189726</v>
      </c>
      <c r="F153" s="142">
        <f>F117</f>
        <v>0.26174895895300421</v>
      </c>
      <c r="G153" s="134">
        <f>28%+CHOOSE($G$4,$I$180,$J$180,$K$180)</f>
        <v>0.28000000000000003</v>
      </c>
      <c r="H153" s="134">
        <f>30%+CHOOSE($G$4,$I$180,$J$180,$K$180)</f>
        <v>0.3</v>
      </c>
      <c r="I153" s="134">
        <f>32%+CHOOSE($G$4,$I$180,$J$180,$K$180)</f>
        <v>0.32</v>
      </c>
      <c r="J153" s="134">
        <f>33%+CHOOSE($G$4,$I$180,$J$180,$K$180)</f>
        <v>0.33</v>
      </c>
      <c r="K153" s="143">
        <f>34%+CHOOSE($G$4,$I$180,$J$180,$K$180)</f>
        <v>0.34</v>
      </c>
    </row>
    <row r="154" spans="1:11" outlineLevel="1">
      <c r="A154" s="146" t="s">
        <v>326</v>
      </c>
      <c r="B154" s="18"/>
      <c r="C154" s="147">
        <f>C121</f>
        <v>-2.7354024197790539E-2</v>
      </c>
      <c r="D154" s="147">
        <f>D121</f>
        <v>3.464127401083561E-2</v>
      </c>
      <c r="E154" s="147">
        <f>E121</f>
        <v>5.8781103498016574E-2</v>
      </c>
      <c r="F154" s="147">
        <f>F121</f>
        <v>5.8192519460793624E-2</v>
      </c>
      <c r="G154" s="148">
        <f>6%+CHOOSE($G$4,$I$181,$J$181,$K$181)</f>
        <v>0.06</v>
      </c>
      <c r="H154" s="148">
        <f>6.5%+CHOOSE($G$4,$I$181,$J$181,$K$181)</f>
        <v>6.5000000000000002E-2</v>
      </c>
      <c r="I154" s="148">
        <f>6.5%+CHOOSE($G$4,$I$181,$J$181,$K$181)</f>
        <v>6.5000000000000002E-2</v>
      </c>
      <c r="J154" s="148">
        <f>7%+CHOOSE($G$4,$I$181,$J$181,$K$181)</f>
        <v>7.0000000000000007E-2</v>
      </c>
      <c r="K154" s="149">
        <f>7%+CHOOSE($G$4,$I$181,$J$181,$K$181)</f>
        <v>7.0000000000000007E-2</v>
      </c>
    </row>
    <row r="155" spans="1:11" outlineLevel="1">
      <c r="A155" t="s">
        <v>287</v>
      </c>
      <c r="B155" s="10">
        <f>B126/B124</f>
        <v>7.3630136986301373E-2</v>
      </c>
      <c r="C155" s="10">
        <f>C126/C124</f>
        <v>5.4084684985972541E-2</v>
      </c>
      <c r="D155" s="10">
        <f>D126/D124</f>
        <v>4.5996906533107458E-2</v>
      </c>
      <c r="E155" s="10">
        <f>E126/E124</f>
        <v>4.822626145722464E-2</v>
      </c>
      <c r="F155" s="10">
        <f>F126/F124</f>
        <v>5.4949329511720747E-2</v>
      </c>
      <c r="G155" s="10">
        <f>CHOOSE($G$4,I182,J182,K182)</f>
        <v>5.5E-2</v>
      </c>
      <c r="H155" s="78">
        <f t="shared" ref="H155:K168" si="72">G155</f>
        <v>5.5E-2</v>
      </c>
      <c r="I155" s="78">
        <f t="shared" si="72"/>
        <v>5.5E-2</v>
      </c>
      <c r="J155" s="78">
        <f t="shared" si="72"/>
        <v>5.5E-2</v>
      </c>
      <c r="K155" s="78">
        <f t="shared" si="72"/>
        <v>5.5E-2</v>
      </c>
    </row>
    <row r="156" spans="1:11" outlineLevel="1">
      <c r="A156" t="s">
        <v>288</v>
      </c>
      <c r="B156" s="10">
        <f>B127/B124</f>
        <v>4.7279299847792999E-2</v>
      </c>
      <c r="C156" s="10">
        <f>C127/C124</f>
        <v>4.817643015067908E-2</v>
      </c>
      <c r="D156" s="10">
        <f>D127/D124</f>
        <v>3.7747661486337188E-2</v>
      </c>
      <c r="E156" s="10">
        <f>E127/E124</f>
        <v>4.1013505833238609E-2</v>
      </c>
      <c r="F156" s="10">
        <f>F127/F124</f>
        <v>4.6473538745009722E-2</v>
      </c>
      <c r="G156" s="10">
        <f>CHOOSE($G$4,I183,J183,K183)</f>
        <v>4.4999999999999998E-2</v>
      </c>
      <c r="H156" s="78">
        <f t="shared" si="72"/>
        <v>4.4999999999999998E-2</v>
      </c>
      <c r="I156" s="78">
        <f t="shared" si="72"/>
        <v>4.4999999999999998E-2</v>
      </c>
      <c r="J156" s="78">
        <f t="shared" si="72"/>
        <v>4.4999999999999998E-2</v>
      </c>
      <c r="K156" s="78">
        <f t="shared" si="72"/>
        <v>4.4999999999999998E-2</v>
      </c>
    </row>
    <row r="157" spans="1:11" outlineLevel="1">
      <c r="A157" t="s">
        <v>289</v>
      </c>
      <c r="B157" s="10">
        <f>B128/B124</f>
        <v>9.9727295788939629E-2</v>
      </c>
      <c r="C157" s="10">
        <f>C128/C124</f>
        <v>8.3923229845976624E-2</v>
      </c>
      <c r="D157" s="10">
        <f>D128/D124</f>
        <v>4.8439763325231394E-2</v>
      </c>
      <c r="E157" s="10">
        <f>E128/E124</f>
        <v>4.9600611740878139E-2</v>
      </c>
      <c r="F157" s="10">
        <f>F128/F124</f>
        <v>5.2717780734977994E-2</v>
      </c>
      <c r="G157" s="19">
        <f>CHOOSE($G$4,I184,J184,K184)</f>
        <v>0.05</v>
      </c>
      <c r="H157" s="78">
        <f t="shared" si="72"/>
        <v>0.05</v>
      </c>
      <c r="I157" s="78">
        <f t="shared" si="72"/>
        <v>0.05</v>
      </c>
      <c r="J157" s="78">
        <f t="shared" si="72"/>
        <v>0.05</v>
      </c>
      <c r="K157" s="78">
        <f t="shared" si="72"/>
        <v>0.05</v>
      </c>
    </row>
    <row r="158" spans="1:11" outlineLevel="1">
      <c r="A158" t="s">
        <v>200</v>
      </c>
      <c r="B158" s="10"/>
      <c r="C158" s="10">
        <f>C129/AVERAGE(B132:C132)</f>
        <v>3.0303030303030303E-3</v>
      </c>
      <c r="D158" s="10">
        <f>D129/AVERAGE(C132:D132)</f>
        <v>1.755889916935174E-2</v>
      </c>
      <c r="E158" s="10">
        <f>E129/AVERAGE(D132:E132)</f>
        <v>6.5296621849254236E-2</v>
      </c>
      <c r="F158" s="10">
        <f>F129/AVERAGE(E132:F132)</f>
        <v>9.6444048314226885E-2</v>
      </c>
      <c r="G158" s="135">
        <v>0.06</v>
      </c>
      <c r="H158" s="78">
        <f t="shared" si="72"/>
        <v>0.06</v>
      </c>
      <c r="I158" s="78">
        <f t="shared" si="72"/>
        <v>0.06</v>
      </c>
      <c r="J158" s="78">
        <f t="shared" si="72"/>
        <v>0.06</v>
      </c>
      <c r="K158" s="78">
        <f t="shared" si="72"/>
        <v>0.06</v>
      </c>
    </row>
    <row r="159" spans="1:11" outlineLevel="1">
      <c r="A159" t="s">
        <v>201</v>
      </c>
      <c r="B159" s="10"/>
      <c r="C159" s="10">
        <f>C130/AVERAGE(B22:C22)</f>
        <v>3.9950465729822859E-2</v>
      </c>
      <c r="D159" s="10">
        <f>D130/AVERAGE(C22:D22)</f>
        <v>3.8457666364643109E-2</v>
      </c>
      <c r="E159" s="10">
        <f>E130/AVERAGE(D22:E22)</f>
        <v>3.7459478929043104E-2</v>
      </c>
      <c r="F159" s="10">
        <f>F130/AVERAGE(E22:F22)</f>
        <v>5.2071710183738747E-2</v>
      </c>
      <c r="G159" s="19">
        <f>CHOOSE($G$4,I185,J185,K185)</f>
        <v>4.4999999999999998E-2</v>
      </c>
      <c r="H159" s="78">
        <f t="shared" si="72"/>
        <v>4.4999999999999998E-2</v>
      </c>
      <c r="I159" s="78">
        <f t="shared" si="72"/>
        <v>4.4999999999999998E-2</v>
      </c>
      <c r="J159" s="78">
        <f t="shared" si="72"/>
        <v>4.4999999999999998E-2</v>
      </c>
      <c r="K159" s="78">
        <f t="shared" si="72"/>
        <v>4.4999999999999998E-2</v>
      </c>
    </row>
    <row r="160" spans="1:11" outlineLevel="1">
      <c r="A160" t="s">
        <v>202</v>
      </c>
      <c r="B160" s="10">
        <f>B53/B52</f>
        <v>0.2530329289428076</v>
      </c>
      <c r="C160" s="10">
        <f>C53/C52</f>
        <v>0.11020022071574964</v>
      </c>
      <c r="D160" s="10">
        <f>D53/D52</f>
        <v>8.2513302718857054E-2</v>
      </c>
      <c r="E160" s="10">
        <f>E53/E52</f>
        <v>-0.50145392559911761</v>
      </c>
      <c r="F160" s="10">
        <f>F53/F52</f>
        <v>0.20433815350389323</v>
      </c>
      <c r="G160" s="19">
        <f>CHOOSE($G$4,I186,J186,K186)</f>
        <v>0.16</v>
      </c>
      <c r="H160" s="78">
        <f t="shared" si="72"/>
        <v>0.16</v>
      </c>
      <c r="I160" s="78">
        <f t="shared" si="72"/>
        <v>0.16</v>
      </c>
      <c r="J160" s="78">
        <f t="shared" si="72"/>
        <v>0.16</v>
      </c>
      <c r="K160" s="78">
        <f t="shared" si="72"/>
        <v>0.16</v>
      </c>
    </row>
    <row r="161" spans="1:11" outlineLevel="1">
      <c r="A161" t="s">
        <v>290</v>
      </c>
      <c r="B161" s="10">
        <f>B132/B124</f>
        <v>0.61466260781329274</v>
      </c>
      <c r="C161" s="10">
        <f>C132/C124</f>
        <v>0.32655184586515057</v>
      </c>
      <c r="D161" s="10">
        <f>D132/D124</f>
        <v>0.19951633890648401</v>
      </c>
      <c r="E161" s="10">
        <f>E132/E124</f>
        <v>0.16944808985977494</v>
      </c>
      <c r="F161" s="10">
        <f>F132/F124</f>
        <v>0.16520626471491454</v>
      </c>
      <c r="G161" s="135">
        <v>0.17</v>
      </c>
      <c r="H161" s="78">
        <f t="shared" si="72"/>
        <v>0.17</v>
      </c>
      <c r="I161" s="78">
        <f t="shared" si="72"/>
        <v>0.17</v>
      </c>
      <c r="J161" s="78">
        <f t="shared" si="72"/>
        <v>0.17</v>
      </c>
      <c r="K161" s="78">
        <f t="shared" si="72"/>
        <v>0.17</v>
      </c>
    </row>
    <row r="162" spans="1:11" outlineLevel="1">
      <c r="A162" t="s">
        <v>291</v>
      </c>
      <c r="B162" s="10">
        <f>B133/B124</f>
        <v>0</v>
      </c>
      <c r="C162" s="10">
        <f>C133/C124</f>
        <v>2.4339037214573694E-3</v>
      </c>
      <c r="D162" s="10">
        <f>D133/D124</f>
        <v>7.2819228597382823E-2</v>
      </c>
      <c r="E162" s="10">
        <f>E133/E124</f>
        <v>0.13119361805462268</v>
      </c>
      <c r="F162" s="10">
        <f>F133/F124</f>
        <v>0.20906950557887194</v>
      </c>
      <c r="G162" s="135">
        <v>0.15</v>
      </c>
      <c r="H162" s="78">
        <f>G162</f>
        <v>0.15</v>
      </c>
      <c r="I162" s="78">
        <f t="shared" si="72"/>
        <v>0.15</v>
      </c>
      <c r="J162" s="78">
        <f t="shared" si="72"/>
        <v>0.15</v>
      </c>
      <c r="K162" s="78">
        <f t="shared" si="72"/>
        <v>0.15</v>
      </c>
    </row>
    <row r="163" spans="1:11" outlineLevel="1">
      <c r="A163" t="s">
        <v>292</v>
      </c>
      <c r="B163" s="10">
        <f t="shared" ref="B163:F164" si="73">B134/B124</f>
        <v>5.9804667681380007E-2</v>
      </c>
      <c r="C163" s="10">
        <f t="shared" si="73"/>
        <v>3.5542426100366016E-2</v>
      </c>
      <c r="D163" s="10">
        <f t="shared" si="73"/>
        <v>3.62377550268837E-2</v>
      </c>
      <c r="E163" s="10">
        <f t="shared" si="73"/>
        <v>3.6249780413958439E-2</v>
      </c>
      <c r="F163" s="10">
        <f t="shared" si="73"/>
        <v>4.5224690347016074E-2</v>
      </c>
      <c r="G163" s="135">
        <v>4.1000000000000002E-2</v>
      </c>
      <c r="H163" s="78">
        <f t="shared" si="72"/>
        <v>4.1000000000000002E-2</v>
      </c>
      <c r="I163" s="78">
        <f t="shared" si="72"/>
        <v>4.1000000000000002E-2</v>
      </c>
      <c r="J163" s="78">
        <f t="shared" si="72"/>
        <v>4.1000000000000002E-2</v>
      </c>
      <c r="K163" s="78">
        <f t="shared" si="72"/>
        <v>4.1000000000000002E-2</v>
      </c>
    </row>
    <row r="164" spans="1:11" outlineLevel="1">
      <c r="A164" t="s">
        <v>293</v>
      </c>
      <c r="B164" s="10">
        <f t="shared" si="73"/>
        <v>0.18158873538788523</v>
      </c>
      <c r="C164" s="10">
        <f t="shared" si="73"/>
        <v>0.15431834021337051</v>
      </c>
      <c r="D164" s="10">
        <f t="shared" si="73"/>
        <v>0.22579226900214555</v>
      </c>
      <c r="E164" s="10">
        <f t="shared" si="73"/>
        <v>0.18303199634634501</v>
      </c>
      <c r="F164" s="10">
        <f t="shared" si="73"/>
        <v>0.16050058766962283</v>
      </c>
      <c r="G164" s="135">
        <v>0.185</v>
      </c>
      <c r="H164" s="78">
        <f t="shared" si="72"/>
        <v>0.185</v>
      </c>
      <c r="I164" s="78">
        <f t="shared" si="72"/>
        <v>0.185</v>
      </c>
      <c r="J164" s="78">
        <f t="shared" si="72"/>
        <v>0.185</v>
      </c>
      <c r="K164" s="78">
        <f t="shared" si="72"/>
        <v>0.185</v>
      </c>
    </row>
    <row r="165" spans="1:11" outlineLevel="1">
      <c r="A165" t="s">
        <v>294</v>
      </c>
      <c r="B165" s="10">
        <f>B136/B124</f>
        <v>4.2681380010147131E-2</v>
      </c>
      <c r="C165" s="10">
        <f>C136/C124</f>
        <v>3.2012336733366779E-2</v>
      </c>
      <c r="D165" s="10">
        <f>D136/D124</f>
        <v>3.6102722741891927E-2</v>
      </c>
      <c r="E165" s="10">
        <f>E136/E124</f>
        <v>3.5009765120436485E-2</v>
      </c>
      <c r="F165" s="10">
        <f>F136/F124</f>
        <v>5.4887910738048933E-2</v>
      </c>
      <c r="G165" s="135">
        <v>0.04</v>
      </c>
      <c r="H165" s="78">
        <f t="shared" si="72"/>
        <v>0.04</v>
      </c>
      <c r="I165" s="78">
        <f t="shared" si="72"/>
        <v>0.04</v>
      </c>
      <c r="J165" s="78">
        <f t="shared" si="72"/>
        <v>0.04</v>
      </c>
      <c r="K165" s="78">
        <f t="shared" si="72"/>
        <v>0.04</v>
      </c>
    </row>
    <row r="166" spans="1:11" outlineLevel="1">
      <c r="A166" t="s">
        <v>295</v>
      </c>
      <c r="B166" s="10">
        <f t="shared" ref="B166:F167" si="74">B137/B124</f>
        <v>0.39564307458143072</v>
      </c>
      <c r="C166" s="10">
        <f t="shared" si="74"/>
        <v>0.29628597439756238</v>
      </c>
      <c r="D166" s="10">
        <f t="shared" si="74"/>
        <v>0.21702143330632687</v>
      </c>
      <c r="E166" s="10">
        <f t="shared" si="74"/>
        <v>0.27925144410114389</v>
      </c>
      <c r="F166" s="10">
        <f t="shared" si="74"/>
        <v>0.28283345275872657</v>
      </c>
      <c r="G166" s="135">
        <v>0.26</v>
      </c>
      <c r="H166" s="78">
        <f t="shared" si="72"/>
        <v>0.26</v>
      </c>
      <c r="I166" s="78">
        <f t="shared" si="72"/>
        <v>0.26</v>
      </c>
      <c r="J166" s="78">
        <f t="shared" si="72"/>
        <v>0.26</v>
      </c>
      <c r="K166" s="78">
        <f t="shared" si="72"/>
        <v>0.26</v>
      </c>
    </row>
    <row r="167" spans="1:11" outlineLevel="1">
      <c r="A167" t="s">
        <v>296</v>
      </c>
      <c r="B167" s="10">
        <f t="shared" si="74"/>
        <v>0.47192702798441377</v>
      </c>
      <c r="C167" s="10">
        <f t="shared" si="74"/>
        <v>0.4468182061866724</v>
      </c>
      <c r="D167" s="10">
        <f t="shared" si="74"/>
        <v>0.41257781998522741</v>
      </c>
      <c r="E167" s="10">
        <f t="shared" si="74"/>
        <v>0.31581280391156008</v>
      </c>
      <c r="F167" s="10">
        <f t="shared" si="74"/>
        <v>0.30982209637781816</v>
      </c>
      <c r="G167" s="135">
        <v>0.31</v>
      </c>
      <c r="H167" s="78">
        <f t="shared" si="72"/>
        <v>0.31</v>
      </c>
      <c r="I167" s="78">
        <f t="shared" si="72"/>
        <v>0.31</v>
      </c>
      <c r="J167" s="78">
        <f t="shared" si="72"/>
        <v>0.31</v>
      </c>
      <c r="K167" s="78">
        <f t="shared" si="72"/>
        <v>0.31</v>
      </c>
    </row>
    <row r="168" spans="1:11" outlineLevel="1">
      <c r="A168" t="s">
        <v>297</v>
      </c>
      <c r="B168" s="10">
        <f>B139/B124</f>
        <v>4.6232876712328765E-2</v>
      </c>
      <c r="C168" s="10">
        <f>C139/C124</f>
        <v>2.6884417442357356E-2</v>
      </c>
      <c r="D168" s="10">
        <f>D139/D124</f>
        <v>2.1445581989148314E-2</v>
      </c>
      <c r="E168" s="10">
        <f>E139/E124</f>
        <v>2.9595031672057289E-2</v>
      </c>
      <c r="F168" s="10">
        <f>F139/F124</f>
        <v>3.2429112498720443E-2</v>
      </c>
      <c r="G168" s="135">
        <v>0.03</v>
      </c>
      <c r="H168" s="78">
        <f t="shared" si="72"/>
        <v>0.03</v>
      </c>
      <c r="I168" s="78">
        <f t="shared" si="72"/>
        <v>0.03</v>
      </c>
      <c r="J168" s="78">
        <f t="shared" si="72"/>
        <v>0.03</v>
      </c>
      <c r="K168" s="78">
        <f t="shared" si="72"/>
        <v>0.03</v>
      </c>
    </row>
    <row r="169" spans="1:11" outlineLevel="1">
      <c r="A169" t="s">
        <v>298</v>
      </c>
      <c r="B169" s="10">
        <f>B140/SUM(B125:B128)</f>
        <v>0.15618441540857084</v>
      </c>
      <c r="C169" s="10">
        <f>C140/SUM(C125:C128)</f>
        <v>0.11828343229023602</v>
      </c>
      <c r="D169" s="10">
        <f>D140/SUM(D125:D128)</f>
        <v>0.12027206860860565</v>
      </c>
      <c r="E169" s="10">
        <f>E140/SUM(E125:E128)</f>
        <v>0.12976491204114607</v>
      </c>
      <c r="F169" s="10">
        <f>F140/SUM(F125:F128)</f>
        <v>0.15358612253975315</v>
      </c>
      <c r="G169" s="135">
        <v>0.13500000000000001</v>
      </c>
      <c r="H169" s="78">
        <f t="shared" ref="H169:K169" si="75">G169</f>
        <v>0.13500000000000001</v>
      </c>
      <c r="I169" s="78">
        <f t="shared" si="75"/>
        <v>0.13500000000000001</v>
      </c>
      <c r="J169" s="78">
        <f t="shared" si="75"/>
        <v>0.13500000000000001</v>
      </c>
      <c r="K169" s="78">
        <f t="shared" si="75"/>
        <v>0.13500000000000001</v>
      </c>
    </row>
    <row r="170" spans="1:11" outlineLevel="1">
      <c r="A170" t="s">
        <v>203</v>
      </c>
      <c r="B170" s="68">
        <f>B81</f>
        <v>-12201</v>
      </c>
      <c r="C170" s="68">
        <f>C81</f>
        <v>-14615</v>
      </c>
      <c r="D170" s="68">
        <f>D81</f>
        <v>-3866</v>
      </c>
      <c r="E170" s="68">
        <f>E81</f>
        <v>-1815</v>
      </c>
      <c r="F170" s="68">
        <f>F81</f>
        <v>-2881</v>
      </c>
      <c r="G170" s="64">
        <v>-2353</v>
      </c>
      <c r="H170" s="64">
        <v>-4116</v>
      </c>
      <c r="I170" s="64">
        <v>-699</v>
      </c>
      <c r="J170" s="64">
        <v>-243</v>
      </c>
      <c r="K170" s="64">
        <v>-95</v>
      </c>
    </row>
    <row r="171" spans="1:11" outlineLevel="1">
      <c r="A171" t="s">
        <v>299</v>
      </c>
      <c r="B171" s="10">
        <f>B143/B124</f>
        <v>0.1001078132927448</v>
      </c>
      <c r="C171" s="10">
        <f>C143/C124</f>
        <v>0.12043178566783717</v>
      </c>
      <c r="D171" s="10">
        <f>D143/D124</f>
        <v>8.7869190542829781E-2</v>
      </c>
      <c r="E171" s="10">
        <f>E143/E124</f>
        <v>9.1947134014652848E-2</v>
      </c>
      <c r="F171" s="10">
        <f>F143/F124</f>
        <v>0.11607124577745931</v>
      </c>
      <c r="G171" s="19">
        <f>CHOOSE($G$4,I187,J187,K187)</f>
        <v>0.1</v>
      </c>
      <c r="H171" s="78">
        <f>G171</f>
        <v>0.1</v>
      </c>
      <c r="I171" s="78">
        <f t="shared" ref="I171:K171" si="76">H171</f>
        <v>0.1</v>
      </c>
      <c r="J171" s="78">
        <f t="shared" si="76"/>
        <v>0.1</v>
      </c>
      <c r="K171" s="78">
        <f t="shared" si="76"/>
        <v>0.1</v>
      </c>
    </row>
    <row r="172" spans="1:11" ht="17" thickBot="1"/>
    <row r="173" spans="1:11" ht="23" thickBot="1">
      <c r="A173" s="158" t="s">
        <v>204</v>
      </c>
      <c r="B173" s="159"/>
      <c r="I173" s="160" t="s">
        <v>205</v>
      </c>
      <c r="J173" s="161"/>
      <c r="K173" s="162"/>
    </row>
    <row r="174" spans="1:11" ht="17" outlineLevel="1" thickBot="1">
      <c r="A174" t="s">
        <v>221</v>
      </c>
      <c r="B174" s="81">
        <v>3.7650000000000003E-2</v>
      </c>
      <c r="I174" s="73" t="s">
        <v>206</v>
      </c>
      <c r="J174" s="73" t="s">
        <v>207</v>
      </c>
      <c r="K174" s="73" t="s">
        <v>208</v>
      </c>
    </row>
    <row r="175" spans="1:11" ht="17" outlineLevel="1" thickBot="1">
      <c r="A175" t="s">
        <v>222</v>
      </c>
      <c r="B175" s="80">
        <v>1.8</v>
      </c>
      <c r="I175" s="47" t="s">
        <v>209</v>
      </c>
      <c r="J175" s="47" t="s">
        <v>210</v>
      </c>
      <c r="K175" s="71" t="s">
        <v>211</v>
      </c>
    </row>
    <row r="176" spans="1:11" outlineLevel="1">
      <c r="A176" t="s">
        <v>223</v>
      </c>
      <c r="B176" s="81">
        <v>3.7699999999999997E-2</v>
      </c>
      <c r="E176" s="163" t="s">
        <v>85</v>
      </c>
      <c r="H176" s="133" t="s">
        <v>317</v>
      </c>
      <c r="I176" s="74">
        <f>J176-2%</f>
        <v>-0.02</v>
      </c>
      <c r="J176" s="74">
        <v>0</v>
      </c>
      <c r="K176" s="74">
        <f>J176+2%</f>
        <v>0.02</v>
      </c>
    </row>
    <row r="177" spans="1:11" outlineLevel="1">
      <c r="A177" s="88" t="s">
        <v>224</v>
      </c>
      <c r="B177" s="87">
        <f>B174+B175*B176</f>
        <v>0.10551000000000001</v>
      </c>
      <c r="E177" s="163"/>
      <c r="H177" s="133" t="s">
        <v>319</v>
      </c>
      <c r="I177" s="74">
        <f>J177-3%</f>
        <v>-0.03</v>
      </c>
      <c r="J177" s="74">
        <v>0</v>
      </c>
      <c r="K177" s="74">
        <f>J177+3%</f>
        <v>0.03</v>
      </c>
    </row>
    <row r="178" spans="1:11" outlineLevel="1">
      <c r="A178" s="13" t="s">
        <v>225</v>
      </c>
      <c r="B178" s="82">
        <f>B174+1.2%</f>
        <v>4.965E-2</v>
      </c>
      <c r="E178" s="163"/>
      <c r="H178" s="133" t="s">
        <v>320</v>
      </c>
      <c r="I178" s="74">
        <f>J178-2%</f>
        <v>-0.02</v>
      </c>
      <c r="J178" s="74">
        <v>0</v>
      </c>
      <c r="K178" s="74">
        <f>J178+2%</f>
        <v>0.02</v>
      </c>
    </row>
    <row r="179" spans="1:11" outlineLevel="1">
      <c r="A179" t="s">
        <v>202</v>
      </c>
      <c r="B179" s="81">
        <v>0.21</v>
      </c>
      <c r="E179" s="163" t="s">
        <v>314</v>
      </c>
      <c r="H179" s="133" t="s">
        <v>318</v>
      </c>
      <c r="I179" s="74">
        <f>J179+1%</f>
        <v>0.01</v>
      </c>
      <c r="J179" s="74">
        <v>0</v>
      </c>
      <c r="K179" s="74">
        <f>J179-1%</f>
        <v>-0.01</v>
      </c>
    </row>
    <row r="180" spans="1:11" outlineLevel="1">
      <c r="A180" s="88" t="s">
        <v>239</v>
      </c>
      <c r="B180" s="87">
        <f>B178*(1-B179)</f>
        <v>3.9223500000000001E-2</v>
      </c>
      <c r="E180" s="163"/>
      <c r="H180" s="133" t="s">
        <v>327</v>
      </c>
      <c r="I180" s="74">
        <f>J180-3%</f>
        <v>-0.03</v>
      </c>
      <c r="J180" s="74">
        <v>0</v>
      </c>
      <c r="K180" s="74">
        <f>J180+3%</f>
        <v>0.03</v>
      </c>
    </row>
    <row r="181" spans="1:11" outlineLevel="1">
      <c r="A181" t="s">
        <v>226</v>
      </c>
      <c r="B181" s="83">
        <f>B187/B188</f>
        <v>4.9868457133479364E-3</v>
      </c>
      <c r="E181" s="163"/>
      <c r="H181" s="133" t="s">
        <v>328</v>
      </c>
      <c r="I181" s="74">
        <f>J181-1%</f>
        <v>-0.01</v>
      </c>
      <c r="J181" s="74">
        <v>0</v>
      </c>
      <c r="K181" s="74">
        <f>J181+1%</f>
        <v>0.01</v>
      </c>
    </row>
    <row r="182" spans="1:11" outlineLevel="1">
      <c r="A182" t="s">
        <v>227</v>
      </c>
      <c r="B182" s="83">
        <f>B186/B188</f>
        <v>0.99501315428665205</v>
      </c>
      <c r="H182" s="133" t="s">
        <v>213</v>
      </c>
      <c r="I182" s="74">
        <v>4.4999999999999998E-2</v>
      </c>
      <c r="J182" s="74">
        <v>5.5E-2</v>
      </c>
      <c r="K182" s="74">
        <v>6.5000000000000002E-2</v>
      </c>
    </row>
    <row r="183" spans="1:11" outlineLevel="1">
      <c r="A183" s="88" t="s">
        <v>228</v>
      </c>
      <c r="B183" s="87">
        <f>B177*B182+B180*B181</f>
        <v>0.10517943945162217</v>
      </c>
      <c r="H183" s="133" t="s">
        <v>214</v>
      </c>
      <c r="I183" s="74">
        <v>0.05</v>
      </c>
      <c r="J183" s="74">
        <v>4.4999999999999998E-2</v>
      </c>
      <c r="K183" s="74">
        <v>0.04</v>
      </c>
    </row>
    <row r="184" spans="1:11" outlineLevel="1">
      <c r="A184" t="s">
        <v>229</v>
      </c>
      <c r="B184" s="85">
        <v>462.07</v>
      </c>
      <c r="H184" s="133" t="s">
        <v>215</v>
      </c>
      <c r="I184" s="74">
        <v>5.5E-2</v>
      </c>
      <c r="J184" s="74">
        <v>0.05</v>
      </c>
      <c r="K184" s="74">
        <v>4.4999999999999998E-2</v>
      </c>
    </row>
    <row r="185" spans="1:11" outlineLevel="1">
      <c r="A185" t="s">
        <v>230</v>
      </c>
      <c r="B185" s="64">
        <v>3325.8191670000001</v>
      </c>
      <c r="H185" s="133" t="s">
        <v>216</v>
      </c>
      <c r="I185" s="74">
        <v>0.05</v>
      </c>
      <c r="J185" s="74">
        <v>4.4999999999999998E-2</v>
      </c>
      <c r="K185" s="74">
        <v>0.04</v>
      </c>
    </row>
    <row r="186" spans="1:11" outlineLevel="1">
      <c r="A186" t="s">
        <v>237</v>
      </c>
      <c r="B186" s="62">
        <f>B184*B185</f>
        <v>1536761.26249569</v>
      </c>
      <c r="H186" s="133" t="s">
        <v>202</v>
      </c>
      <c r="I186" s="74">
        <v>0.21</v>
      </c>
      <c r="J186" s="74">
        <v>0.16</v>
      </c>
      <c r="K186" s="74">
        <v>0.13</v>
      </c>
    </row>
    <row r="187" spans="1:11" outlineLevel="1">
      <c r="A187" t="s">
        <v>238</v>
      </c>
      <c r="B187" s="93">
        <f>1924+5778</f>
        <v>7702</v>
      </c>
      <c r="H187" s="133" t="s">
        <v>217</v>
      </c>
      <c r="I187" s="74">
        <v>0.11</v>
      </c>
      <c r="J187" s="74">
        <v>0.1</v>
      </c>
      <c r="K187" s="74">
        <v>0.09</v>
      </c>
    </row>
    <row r="188" spans="1:11" outlineLevel="1">
      <c r="A188" s="88" t="s">
        <v>231</v>
      </c>
      <c r="B188" s="59">
        <f>SUM(B186:B187)</f>
        <v>1544463.26249569</v>
      </c>
    </row>
    <row r="189" spans="1:11" outlineLevel="1">
      <c r="A189" t="s">
        <v>232</v>
      </c>
      <c r="B189" s="64">
        <v>45</v>
      </c>
    </row>
    <row r="190" spans="1:11" outlineLevel="1">
      <c r="A190" t="s">
        <v>233</v>
      </c>
      <c r="B190" s="64">
        <v>0</v>
      </c>
    </row>
    <row r="191" spans="1:11" outlineLevel="1">
      <c r="A191" t="s">
        <v>234</v>
      </c>
      <c r="B191" s="63">
        <v>18289</v>
      </c>
    </row>
    <row r="192" spans="1:11" outlineLevel="1">
      <c r="A192" t="s">
        <v>235</v>
      </c>
      <c r="B192" s="90">
        <v>0.03</v>
      </c>
      <c r="C192" t="s">
        <v>241</v>
      </c>
    </row>
    <row r="193" spans="1:11" outlineLevel="1">
      <c r="A193" t="s">
        <v>236</v>
      </c>
      <c r="B193" s="89">
        <v>120</v>
      </c>
      <c r="C193" t="s">
        <v>240</v>
      </c>
    </row>
    <row r="194" spans="1:11" ht="17" thickBot="1"/>
    <row r="195" spans="1:11" ht="23" thickBot="1">
      <c r="A195" s="155" t="s">
        <v>242</v>
      </c>
      <c r="B195" s="156"/>
      <c r="C195" s="156"/>
      <c r="D195" s="156"/>
      <c r="E195" s="156"/>
      <c r="F195" s="156"/>
      <c r="G195" s="156"/>
      <c r="H195" s="156"/>
      <c r="I195" s="156"/>
      <c r="J195" s="156"/>
      <c r="K195" s="157"/>
    </row>
    <row r="196" spans="1:11" outlineLevel="1">
      <c r="A196" s="1" t="s">
        <v>163</v>
      </c>
      <c r="G196" s="69">
        <f t="shared" ref="G196:K197" si="77">G45</f>
        <v>9373.1381750000037</v>
      </c>
      <c r="H196" s="69">
        <f t="shared" si="77"/>
        <v>11171.802540162011</v>
      </c>
      <c r="I196" s="69">
        <f t="shared" si="77"/>
        <v>14602.064188711411</v>
      </c>
      <c r="J196" s="69">
        <f t="shared" si="77"/>
        <v>17954.634865251941</v>
      </c>
      <c r="K196" s="69">
        <f t="shared" si="77"/>
        <v>21331.017588529012</v>
      </c>
    </row>
    <row r="197" spans="1:11" outlineLevel="1">
      <c r="A197" t="s">
        <v>164</v>
      </c>
      <c r="G197" s="99">
        <f t="shared" si="77"/>
        <v>5886.9962250000008</v>
      </c>
      <c r="H197" s="99">
        <f t="shared" si="77"/>
        <v>6510.8930789100013</v>
      </c>
      <c r="I197" s="99">
        <f t="shared" si="77"/>
        <v>7185.616920108364</v>
      </c>
      <c r="J197" s="99">
        <f t="shared" si="77"/>
        <v>7796.1634854258382</v>
      </c>
      <c r="K197" s="99">
        <f t="shared" si="77"/>
        <v>8407.3038792451298</v>
      </c>
    </row>
    <row r="198" spans="1:11" outlineLevel="1">
      <c r="A198" s="1" t="s">
        <v>251</v>
      </c>
      <c r="G198" s="86">
        <f>G196-G197</f>
        <v>3486.1419500000029</v>
      </c>
      <c r="H198" s="86">
        <f t="shared" ref="H198:K198" si="78">H196-H197</f>
        <v>4660.9094612520094</v>
      </c>
      <c r="I198" s="86">
        <f t="shared" si="78"/>
        <v>7416.4472686030467</v>
      </c>
      <c r="J198" s="86">
        <f t="shared" si="78"/>
        <v>10158.471379826104</v>
      </c>
      <c r="K198" s="86">
        <f t="shared" si="78"/>
        <v>12923.713709283882</v>
      </c>
    </row>
    <row r="199" spans="1:11" outlineLevel="1">
      <c r="A199" t="s">
        <v>243</v>
      </c>
      <c r="G199" s="68">
        <f>G53</f>
        <v>653.5835120000005</v>
      </c>
      <c r="H199" s="68">
        <f>H53</f>
        <v>878.23674724032162</v>
      </c>
      <c r="I199" s="68">
        <f>I53</f>
        <v>1367.2707176088716</v>
      </c>
      <c r="J199" s="68">
        <f>J53</f>
        <v>1831.0482719288466</v>
      </c>
      <c r="K199" s="68">
        <f>K53</f>
        <v>2293.3532263620573</v>
      </c>
    </row>
    <row r="200" spans="1:11" outlineLevel="1">
      <c r="A200" s="1" t="s">
        <v>244</v>
      </c>
      <c r="G200" s="59">
        <f>G198-G199</f>
        <v>2832.5584380000023</v>
      </c>
      <c r="H200" s="59">
        <f t="shared" ref="H200:K200" si="79">H198-H199</f>
        <v>3782.6727140116877</v>
      </c>
      <c r="I200" s="59">
        <f t="shared" si="79"/>
        <v>6049.1765509941752</v>
      </c>
      <c r="J200" s="59">
        <f t="shared" si="79"/>
        <v>8327.4231078972571</v>
      </c>
      <c r="K200" s="59">
        <f t="shared" si="79"/>
        <v>10630.360482921824</v>
      </c>
    </row>
    <row r="201" spans="1:11" outlineLevel="1">
      <c r="A201" t="s">
        <v>245</v>
      </c>
      <c r="G201" s="68">
        <f>G197</f>
        <v>5886.9962250000008</v>
      </c>
      <c r="H201" s="68">
        <f t="shared" ref="H201:K201" si="80">H197</f>
        <v>6510.8930789100013</v>
      </c>
      <c r="I201" s="68">
        <f t="shared" si="80"/>
        <v>7185.616920108364</v>
      </c>
      <c r="J201" s="68">
        <f t="shared" si="80"/>
        <v>7796.1634854258382</v>
      </c>
      <c r="K201" s="68">
        <f t="shared" si="80"/>
        <v>8407.3038792451298</v>
      </c>
    </row>
    <row r="202" spans="1:11" outlineLevel="1">
      <c r="A202" t="s">
        <v>167</v>
      </c>
      <c r="G202" s="68">
        <f t="shared" ref="G202:K206" si="81">G66</f>
        <v>29.511904999999388</v>
      </c>
      <c r="H202" s="68">
        <f t="shared" si="81"/>
        <v>-465.0867456420001</v>
      </c>
      <c r="I202" s="68">
        <f t="shared" si="81"/>
        <v>-502.97595434787036</v>
      </c>
      <c r="J202" s="68">
        <f t="shared" si="81"/>
        <v>-455.13471232757274</v>
      </c>
      <c r="K202" s="68">
        <f t="shared" si="81"/>
        <v>-455.57738448347118</v>
      </c>
    </row>
    <row r="203" spans="1:11" outlineLevel="1">
      <c r="A203" t="s">
        <v>166</v>
      </c>
      <c r="G203" s="68">
        <f t="shared" si="81"/>
        <v>-4169.5211280000003</v>
      </c>
      <c r="H203" s="68">
        <f t="shared" si="81"/>
        <v>-1566.4458336428797</v>
      </c>
      <c r="I203" s="68">
        <f t="shared" si="81"/>
        <v>-1419.3223061571953</v>
      </c>
      <c r="J203" s="68">
        <f t="shared" si="81"/>
        <v>-1238.3336738996077</v>
      </c>
      <c r="K203" s="68">
        <f t="shared" si="81"/>
        <v>-1235.736113197283</v>
      </c>
    </row>
    <row r="204" spans="1:11" outlineLevel="1">
      <c r="A204" t="s">
        <v>169</v>
      </c>
      <c r="G204" s="68">
        <f t="shared" si="81"/>
        <v>1080.5481999999993</v>
      </c>
      <c r="H204" s="68">
        <f t="shared" si="81"/>
        <v>-453.74316648000058</v>
      </c>
      <c r="I204" s="68">
        <f t="shared" si="81"/>
        <v>-490.70824814426305</v>
      </c>
      <c r="J204" s="68">
        <f t="shared" si="81"/>
        <v>-444.03386568543647</v>
      </c>
      <c r="K204" s="68">
        <f t="shared" si="81"/>
        <v>-444.46574095948472</v>
      </c>
    </row>
    <row r="205" spans="1:11" outlineLevel="1">
      <c r="A205" t="s">
        <v>170</v>
      </c>
      <c r="G205" s="68">
        <f t="shared" si="81"/>
        <v>3926.3597280000031</v>
      </c>
      <c r="H205" s="68">
        <f t="shared" si="81"/>
        <v>2624.8551806988798</v>
      </c>
      <c r="I205" s="68">
        <f t="shared" si="81"/>
        <v>2378.3238643715158</v>
      </c>
      <c r="J205" s="68">
        <f t="shared" si="81"/>
        <v>2075.0456157236658</v>
      </c>
      <c r="K205" s="68">
        <f t="shared" si="81"/>
        <v>2070.6929464386922</v>
      </c>
    </row>
    <row r="206" spans="1:11" outlineLevel="1">
      <c r="A206" t="s">
        <v>168</v>
      </c>
      <c r="G206" s="68">
        <f t="shared" si="81"/>
        <v>210.35951175000264</v>
      </c>
      <c r="H206" s="68">
        <f t="shared" si="81"/>
        <v>1713.0969477109797</v>
      </c>
      <c r="I206" s="68">
        <f t="shared" si="81"/>
        <v>1652.1739196026997</v>
      </c>
      <c r="J206" s="68">
        <f t="shared" si="81"/>
        <v>1461.466440937309</v>
      </c>
      <c r="K206" s="68">
        <f t="shared" si="81"/>
        <v>1460.1134669810781</v>
      </c>
    </row>
    <row r="207" spans="1:11" outlineLevel="1">
      <c r="A207" t="s">
        <v>171</v>
      </c>
      <c r="G207" s="68">
        <f>G74</f>
        <v>-10703.629500000003</v>
      </c>
      <c r="H207" s="68">
        <f>H74</f>
        <v>-11837.987416200003</v>
      </c>
      <c r="I207" s="68">
        <f>I74</f>
        <v>-13064.758036560663</v>
      </c>
      <c r="J207" s="68">
        <f>J74</f>
        <v>-14174.842700774252</v>
      </c>
      <c r="K207" s="68">
        <f>K74</f>
        <v>-15286.007053172965</v>
      </c>
    </row>
    <row r="208" spans="1:11" outlineLevel="1">
      <c r="A208" s="1" t="s">
        <v>246</v>
      </c>
      <c r="G208" s="59">
        <f>SUM(G200:G207)</f>
        <v>-906.81662024999605</v>
      </c>
      <c r="H208" s="59">
        <f t="shared" ref="H208:K208" si="82">SUM(H200:H207)</f>
        <v>308.25475936666408</v>
      </c>
      <c r="I208" s="59">
        <f t="shared" si="82"/>
        <v>1787.5267098667628</v>
      </c>
      <c r="J208" s="59">
        <f t="shared" si="82"/>
        <v>3347.7536972971993</v>
      </c>
      <c r="K208" s="59">
        <f t="shared" si="82"/>
        <v>5146.6844837735189</v>
      </c>
    </row>
    <row r="209" spans="1:11" outlineLevel="1">
      <c r="A209" t="s">
        <v>247</v>
      </c>
      <c r="K209" s="93">
        <f>B193*K196</f>
        <v>2559722.1106234812</v>
      </c>
    </row>
    <row r="210" spans="1:11" outlineLevel="1">
      <c r="A210" s="1" t="s">
        <v>248</v>
      </c>
      <c r="G210" s="59">
        <f>SUM(G208:G209)</f>
        <v>-906.81662024999605</v>
      </c>
      <c r="H210" s="59">
        <f t="shared" ref="H210:K210" si="83">SUM(H208:H209)</f>
        <v>308.25475936666408</v>
      </c>
      <c r="I210" s="59">
        <f t="shared" si="83"/>
        <v>1787.5267098667628</v>
      </c>
      <c r="J210" s="59">
        <f t="shared" si="83"/>
        <v>3347.7536972971993</v>
      </c>
      <c r="K210" s="59">
        <f t="shared" si="83"/>
        <v>2564868.7951072548</v>
      </c>
    </row>
    <row r="211" spans="1:11" outlineLevel="1">
      <c r="A211" t="s">
        <v>249</v>
      </c>
      <c r="G211" s="70">
        <f>1/(1+$B$183)^G3</f>
        <v>0.90483044137718394</v>
      </c>
      <c r="H211" s="70">
        <f>1/(1+$B$183)^H3</f>
        <v>0.81871812764282947</v>
      </c>
      <c r="I211" s="70">
        <f>1/(1+$B$183)^I3</f>
        <v>0.7408010847985631</v>
      </c>
      <c r="J211" s="70">
        <f>1/(1+$B$183)^J3</f>
        <v>0.67029937253098049</v>
      </c>
      <c r="K211" s="70">
        <f>1/(1+$B$183)^K3</f>
        <v>0.60650727710205654</v>
      </c>
    </row>
    <row r="212" spans="1:11" outlineLevel="1">
      <c r="A212" s="1" t="s">
        <v>250</v>
      </c>
      <c r="G212" s="59">
        <f>G210*G211</f>
        <v>-820.51528274897009</v>
      </c>
      <c r="H212" s="59">
        <f t="shared" ref="H212:K212" si="84">H210*H211</f>
        <v>252.37375942566615</v>
      </c>
      <c r="I212" s="59">
        <f t="shared" si="84"/>
        <v>1324.2017257757043</v>
      </c>
      <c r="J212" s="59">
        <f t="shared" si="84"/>
        <v>2243.9972026865826</v>
      </c>
      <c r="K212" s="59">
        <f t="shared" si="84"/>
        <v>1555611.5890445337</v>
      </c>
    </row>
    <row r="213" spans="1:11" outlineLevel="1"/>
    <row r="214" spans="1:11" outlineLevel="1">
      <c r="A214" s="1" t="s">
        <v>252</v>
      </c>
      <c r="B214" s="62">
        <f>SUM(G212:K212)</f>
        <v>1558611.6464496728</v>
      </c>
    </row>
    <row r="215" spans="1:11" outlineLevel="1">
      <c r="A215" t="s">
        <v>253</v>
      </c>
      <c r="B215" s="68">
        <f>B187</f>
        <v>7702</v>
      </c>
    </row>
    <row r="216" spans="1:11" outlineLevel="1">
      <c r="A216" s="13" t="s">
        <v>254</v>
      </c>
      <c r="B216" s="69">
        <f>+B191</f>
        <v>18289</v>
      </c>
    </row>
    <row r="217" spans="1:11" outlineLevel="1">
      <c r="A217" s="13" t="s">
        <v>255</v>
      </c>
      <c r="B217" s="68">
        <f>B189</f>
        <v>45</v>
      </c>
    </row>
    <row r="218" spans="1:11" outlineLevel="1">
      <c r="A218" s="13" t="s">
        <v>256</v>
      </c>
      <c r="B218" s="68">
        <f>B190</f>
        <v>0</v>
      </c>
    </row>
    <row r="219" spans="1:11" outlineLevel="1">
      <c r="A219" s="1" t="s">
        <v>257</v>
      </c>
      <c r="B219" s="59">
        <f>B214-B215+B216-B217+B218</f>
        <v>1569153.6464496728</v>
      </c>
    </row>
    <row r="220" spans="1:11" outlineLevel="1">
      <c r="A220" s="13" t="s">
        <v>258</v>
      </c>
      <c r="B220" s="17">
        <f>B185</f>
        <v>3325.8191670000001</v>
      </c>
    </row>
    <row r="221" spans="1:11" outlineLevel="1">
      <c r="A221" s="1" t="s">
        <v>259</v>
      </c>
      <c r="B221" s="102">
        <f>B219/B220</f>
        <v>471.80967083820786</v>
      </c>
      <c r="H221" s="136"/>
    </row>
    <row r="222" spans="1:11" outlineLevel="1">
      <c r="A222" s="13" t="s">
        <v>260</v>
      </c>
      <c r="B222" s="84">
        <f>B184</f>
        <v>462.07</v>
      </c>
      <c r="E222" s="109"/>
      <c r="G222" s="109"/>
      <c r="H222" s="109"/>
    </row>
    <row r="223" spans="1:11" outlineLevel="1">
      <c r="A223" s="72" t="s">
        <v>261</v>
      </c>
      <c r="B223" s="103">
        <f>B222/B221-1</f>
        <v>-2.0643220010527874E-2</v>
      </c>
      <c r="F223" s="136"/>
    </row>
    <row r="224" spans="1:11" outlineLevel="1">
      <c r="A224" s="13" t="s">
        <v>265</v>
      </c>
      <c r="B224" s="8" t="str">
        <f>IF(B223&lt;-0.2, "BUY", IF(B223&gt;0,"SELL","HOLD"))</f>
        <v>HOLD</v>
      </c>
    </row>
    <row r="225" spans="1:14" ht="17" thickBot="1"/>
    <row r="226" spans="1:14" ht="23" thickBot="1">
      <c r="A226" s="155" t="s">
        <v>266</v>
      </c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7"/>
    </row>
    <row r="227" spans="1:14" outlineLevel="1"/>
    <row r="228" spans="1:14" outlineLevel="1">
      <c r="B228" s="1" t="s">
        <v>267</v>
      </c>
      <c r="G228" s="30" t="s">
        <v>329</v>
      </c>
      <c r="I228" s="1" t="s">
        <v>267</v>
      </c>
      <c r="N228" s="30" t="s">
        <v>329</v>
      </c>
    </row>
    <row r="229" spans="1:14" outlineLevel="1">
      <c r="B229" s="108">
        <f>B221</f>
        <v>471.80967083820786</v>
      </c>
      <c r="C229" s="104">
        <f>D229-1%</f>
        <v>-0.02</v>
      </c>
      <c r="D229" s="104">
        <f>E229-1%</f>
        <v>-0.01</v>
      </c>
      <c r="E229" s="105">
        <v>0</v>
      </c>
      <c r="F229" s="104">
        <f>E229+1%</f>
        <v>0.01</v>
      </c>
      <c r="G229" s="104">
        <f>F229+1%</f>
        <v>0.02</v>
      </c>
      <c r="I229" s="108"/>
      <c r="J229" s="104">
        <f>K229-4%</f>
        <v>2.0000000000000004E-2</v>
      </c>
      <c r="K229" s="104">
        <f>L229-4%</f>
        <v>6.0000000000000005E-2</v>
      </c>
      <c r="L229" s="105">
        <v>0.1</v>
      </c>
      <c r="M229" s="104">
        <f>L229+4%</f>
        <v>0.14000000000000001</v>
      </c>
      <c r="N229" s="104">
        <f>M229+4%</f>
        <v>0.18000000000000002</v>
      </c>
    </row>
    <row r="230" spans="1:14" outlineLevel="1">
      <c r="B230" s="107">
        <f>B231+1%</f>
        <v>0.12</v>
      </c>
      <c r="C230" s="70">
        <f t="dataTable" ref="C230:G234" dt2D="1" dtr="1" r1="J176" r2="G171"/>
        <v>454.05145287485624</v>
      </c>
      <c r="D230" s="70">
        <v>461.35124162238753</v>
      </c>
      <c r="E230" s="70">
        <v>468.93351961618168</v>
      </c>
      <c r="F230" s="70">
        <v>476.80637982632516</v>
      </c>
      <c r="G230" s="70">
        <v>484.97806813610748</v>
      </c>
      <c r="I230" s="107">
        <f>I231+1%</f>
        <v>0.12</v>
      </c>
      <c r="J230" s="110">
        <f>1-C230/$B$222</f>
        <v>1.7353533285311196E-2</v>
      </c>
      <c r="K230" s="110">
        <f t="shared" ref="K230:N230" si="85">1-D230/$B$222</f>
        <v>1.5555183794933036E-3</v>
      </c>
      <c r="L230" s="110">
        <f t="shared" si="85"/>
        <v>-1.4853852481619079E-2</v>
      </c>
      <c r="M230" s="110">
        <f t="shared" si="85"/>
        <v>-3.1892093895568019E-2</v>
      </c>
      <c r="N230" s="110">
        <f t="shared" si="85"/>
        <v>-4.9577051390714555E-2</v>
      </c>
    </row>
    <row r="231" spans="1:14" outlineLevel="1">
      <c r="B231" s="107">
        <f>B232+1%</f>
        <v>0.11</v>
      </c>
      <c r="C231" s="70">
        <v>455.43826521276742</v>
      </c>
      <c r="D231" s="70">
        <v>462.76337480798037</v>
      </c>
      <c r="E231" s="70">
        <v>470.37159522719475</v>
      </c>
      <c r="F231" s="70">
        <v>478.2710324735101</v>
      </c>
      <c r="G231" s="70">
        <v>486.46994565775788</v>
      </c>
      <c r="I231" s="107">
        <f>I232+1%</f>
        <v>0.11</v>
      </c>
      <c r="J231" s="110">
        <f t="shared" ref="J231:J234" si="86">1-C231/$B$222</f>
        <v>1.4352229721108389E-2</v>
      </c>
      <c r="K231" s="110">
        <f t="shared" ref="K231:K234" si="87">1-D231/$B$222</f>
        <v>-1.5005839114861086E-3</v>
      </c>
      <c r="L231" s="110">
        <f t="shared" ref="L231:L234" si="88">1-E231/$B$222</f>
        <v>-1.796609870191701E-2</v>
      </c>
      <c r="M231" s="110">
        <f t="shared" ref="M231:M234" si="89">1-F231/$B$222</f>
        <v>-3.5061857453438039E-2</v>
      </c>
      <c r="N231" s="110">
        <f t="shared" ref="N231:N234" si="90">1-G231/$B$222</f>
        <v>-5.2805734321115683E-2</v>
      </c>
    </row>
    <row r="232" spans="1:14" outlineLevel="1">
      <c r="B232" s="106">
        <v>0.1</v>
      </c>
      <c r="C232" s="70">
        <v>456.82507755067849</v>
      </c>
      <c r="D232" s="70">
        <v>464.17550799357309</v>
      </c>
      <c r="E232" s="70">
        <v>471.80967083820786</v>
      </c>
      <c r="F232" s="70">
        <v>479.73568512069505</v>
      </c>
      <c r="G232" s="70">
        <v>487.96182317940821</v>
      </c>
      <c r="I232" s="106">
        <v>0.1</v>
      </c>
      <c r="J232" s="110">
        <f t="shared" si="86"/>
        <v>1.1350926156905916E-2</v>
      </c>
      <c r="K232" s="110">
        <f t="shared" si="87"/>
        <v>-4.5566862024652988E-3</v>
      </c>
      <c r="L232" s="110">
        <f t="shared" si="88"/>
        <v>-2.1078344922214942E-2</v>
      </c>
      <c r="M232" s="110">
        <f t="shared" si="89"/>
        <v>-3.8231621011307837E-2</v>
      </c>
      <c r="N232" s="110">
        <f t="shared" si="90"/>
        <v>-5.6034417251516588E-2</v>
      </c>
    </row>
    <row r="233" spans="1:14" outlineLevel="1">
      <c r="B233" s="107">
        <f>B232-1%</f>
        <v>9.0000000000000011E-2</v>
      </c>
      <c r="C233" s="70">
        <v>458.20962252235796</v>
      </c>
      <c r="D233" s="70">
        <v>465.58565591957068</v>
      </c>
      <c r="E233" s="70">
        <v>473.24604329626169</v>
      </c>
      <c r="F233" s="70">
        <v>481.19891672155711</v>
      </c>
      <c r="G233" s="70">
        <v>489.45256176137184</v>
      </c>
      <c r="I233" s="107">
        <f>I232-1%</f>
        <v>9.0000000000000011E-2</v>
      </c>
      <c r="J233" s="110">
        <f t="shared" si="86"/>
        <v>8.3545295683381537E-3</v>
      </c>
      <c r="K233" s="110">
        <f t="shared" si="87"/>
        <v>-7.6084920457304417E-3</v>
      </c>
      <c r="L233" s="110">
        <f t="shared" si="88"/>
        <v>-2.4186905222718824E-2</v>
      </c>
      <c r="M233" s="110">
        <f t="shared" si="89"/>
        <v>-4.1398309177304471E-2</v>
      </c>
      <c r="N233" s="110">
        <f t="shared" si="90"/>
        <v>-5.926063531796455E-2</v>
      </c>
    </row>
    <row r="234" spans="1:14" outlineLevel="1">
      <c r="B234" s="107">
        <f>B233-1%</f>
        <v>8.0000000000000016E-2</v>
      </c>
      <c r="C234" s="70">
        <v>459.5880323314675</v>
      </c>
      <c r="D234" s="70">
        <v>466.99036938475246</v>
      </c>
      <c r="E234" s="70">
        <v>474.6777078778232</v>
      </c>
      <c r="F234" s="70">
        <v>482.65819337951331</v>
      </c>
      <c r="G234" s="70">
        <v>490.94012515423464</v>
      </c>
      <c r="I234" s="107">
        <f>I233-1%</f>
        <v>8.0000000000000016E-2</v>
      </c>
      <c r="J234" s="110">
        <f t="shared" si="86"/>
        <v>5.3714105406810209E-3</v>
      </c>
      <c r="K234" s="110">
        <f t="shared" si="87"/>
        <v>-1.0648536768784966E-2</v>
      </c>
      <c r="L234" s="110">
        <f t="shared" si="88"/>
        <v>-2.7285276858102003E-2</v>
      </c>
      <c r="M234" s="110">
        <f t="shared" si="89"/>
        <v>-4.45564381576673E-2</v>
      </c>
      <c r="N234" s="110">
        <f t="shared" si="90"/>
        <v>-6.2479981721891953E-2</v>
      </c>
    </row>
    <row r="235" spans="1:14" outlineLevel="1"/>
    <row r="236" spans="1:14" outlineLevel="1">
      <c r="B236" s="1" t="s">
        <v>228</v>
      </c>
      <c r="G236" s="30" t="s">
        <v>269</v>
      </c>
      <c r="I236" s="1" t="s">
        <v>228</v>
      </c>
      <c r="N236" s="30" t="s">
        <v>269</v>
      </c>
    </row>
    <row r="237" spans="1:14" outlineLevel="1">
      <c r="B237" s="116">
        <f>B221</f>
        <v>471.80967083820786</v>
      </c>
      <c r="C237" s="114">
        <f>D237-5</f>
        <v>110</v>
      </c>
      <c r="D237" s="114">
        <f>E237-5</f>
        <v>115</v>
      </c>
      <c r="E237" s="114">
        <v>120</v>
      </c>
      <c r="F237" s="114">
        <f>E237+5</f>
        <v>125</v>
      </c>
      <c r="G237" s="114">
        <f>F237+5</f>
        <v>130</v>
      </c>
      <c r="I237" s="23"/>
      <c r="J237" s="114">
        <f>K237-5</f>
        <v>110</v>
      </c>
      <c r="K237" s="114">
        <f>L237-5</f>
        <v>115</v>
      </c>
      <c r="L237" s="114">
        <v>120</v>
      </c>
      <c r="M237" s="114">
        <f>L237+5</f>
        <v>125</v>
      </c>
      <c r="N237" s="114">
        <f>M237+5</f>
        <v>130</v>
      </c>
    </row>
    <row r="238" spans="1:14" outlineLevel="1">
      <c r="B238" s="115">
        <f>B239+1%</f>
        <v>0.12517943945162216</v>
      </c>
      <c r="C238" s="70">
        <f t="dataTable" ref="C238:G242" dt2D="1" dtr="1" r1="B193" r2="B183" ca="1"/>
        <v>396.06206404017593</v>
      </c>
      <c r="D238" s="70">
        <v>413.84379389553573</v>
      </c>
      <c r="E238" s="70">
        <v>431.62552375089558</v>
      </c>
      <c r="F238" s="70">
        <v>449.40725360625549</v>
      </c>
      <c r="G238" s="70">
        <v>467.18898346161529</v>
      </c>
      <c r="I238" s="115">
        <f>I239+1%</f>
        <v>0.12517943945162216</v>
      </c>
      <c r="J238" s="110">
        <f>1-C238/$B$222</f>
        <v>0.14285267591452389</v>
      </c>
      <c r="K238" s="110">
        <f t="shared" ref="K238:N238" si="91">1-D238/$B$222</f>
        <v>0.10436991387552597</v>
      </c>
      <c r="L238" s="110">
        <f t="shared" si="91"/>
        <v>6.5887151836527824E-2</v>
      </c>
      <c r="M238" s="110">
        <f t="shared" si="91"/>
        <v>2.7404389797529571E-2</v>
      </c>
      <c r="N238" s="110">
        <f t="shared" si="91"/>
        <v>-1.1078372241468459E-2</v>
      </c>
    </row>
    <row r="239" spans="1:14" outlineLevel="1">
      <c r="B239" s="115">
        <f>B240+1%</f>
        <v>0.11517943945162216</v>
      </c>
      <c r="C239" s="70">
        <v>413.99053728898588</v>
      </c>
      <c r="D239" s="70">
        <v>432.58395292305647</v>
      </c>
      <c r="E239" s="70">
        <v>451.17736855712712</v>
      </c>
      <c r="F239" s="70">
        <v>469.77078419119778</v>
      </c>
      <c r="G239" s="70">
        <v>488.36419982526837</v>
      </c>
      <c r="I239" s="115">
        <f>I240+1%</f>
        <v>0.11517943945162216</v>
      </c>
      <c r="J239" s="110">
        <f t="shared" ref="J239:J242" si="92">1-C239/$B$222</f>
        <v>0.10405233560069715</v>
      </c>
      <c r="K239" s="110">
        <f t="shared" ref="K239:K242" si="93">1-D239/$B$222</f>
        <v>6.3812944092764168E-2</v>
      </c>
      <c r="L239" s="110">
        <f t="shared" ref="L239:L242" si="94">1-E239/$B$222</f>
        <v>2.357355258483107E-2</v>
      </c>
      <c r="M239" s="110">
        <f t="shared" ref="M239:M242" si="95">1-F239/$B$222</f>
        <v>-1.6665838923102028E-2</v>
      </c>
      <c r="N239" s="110">
        <f t="shared" ref="N239:N242" si="96">1-G239/$B$222</f>
        <v>-5.6905230431035125E-2</v>
      </c>
    </row>
    <row r="240" spans="1:14" outlineLevel="1">
      <c r="B240" s="115">
        <v>0.10517943945162217</v>
      </c>
      <c r="C240" s="70">
        <v>432.90972846068894</v>
      </c>
      <c r="D240" s="70">
        <v>452.35969964944837</v>
      </c>
      <c r="E240" s="70">
        <v>471.80967083820786</v>
      </c>
      <c r="F240" s="70">
        <v>491.25964202696741</v>
      </c>
      <c r="G240" s="70">
        <v>510.7096132157269</v>
      </c>
      <c r="I240" s="115">
        <v>0.10517943945162217</v>
      </c>
      <c r="J240" s="110">
        <f t="shared" si="92"/>
        <v>6.3107909059906597E-2</v>
      </c>
      <c r="K240" s="110">
        <f t="shared" si="93"/>
        <v>2.1014782068845883E-2</v>
      </c>
      <c r="L240" s="110">
        <f t="shared" si="94"/>
        <v>-2.1078344922214942E-2</v>
      </c>
      <c r="M240" s="110">
        <f t="shared" si="95"/>
        <v>-6.3171471913275878E-2</v>
      </c>
      <c r="N240" s="110">
        <f t="shared" si="96"/>
        <v>-0.10526459890433681</v>
      </c>
    </row>
    <row r="241" spans="1:14" outlineLevel="1">
      <c r="B241" s="115">
        <f>B240-1%</f>
        <v>9.5179439451622175E-2</v>
      </c>
      <c r="C241" s="70">
        <v>452.88410759184762</v>
      </c>
      <c r="D241" s="70">
        <v>473.23842472398781</v>
      </c>
      <c r="E241" s="70">
        <v>493.59274185612799</v>
      </c>
      <c r="F241" s="70">
        <v>513.94705898826828</v>
      </c>
      <c r="G241" s="70">
        <v>534.30137612040846</v>
      </c>
      <c r="I241" s="115">
        <f>I240-1%</f>
        <v>9.5179439451622175E-2</v>
      </c>
      <c r="J241" s="110">
        <f t="shared" si="92"/>
        <v>1.9879871898527024E-2</v>
      </c>
      <c r="K241" s="110">
        <f t="shared" si="93"/>
        <v>-2.4170417304711034E-2</v>
      </c>
      <c r="L241" s="110">
        <f t="shared" si="94"/>
        <v>-6.8220706507948981E-2</v>
      </c>
      <c r="M241" s="110">
        <f t="shared" si="95"/>
        <v>-0.11227099571118715</v>
      </c>
      <c r="N241" s="110">
        <f t="shared" si="96"/>
        <v>-0.15632128491442532</v>
      </c>
    </row>
    <row r="242" spans="1:14" outlineLevel="1">
      <c r="B242" s="115">
        <f>B241-1%</f>
        <v>8.517943945162218E-2</v>
      </c>
      <c r="C242" s="70">
        <v>473.98298459664596</v>
      </c>
      <c r="D242" s="70">
        <v>495.29257796947098</v>
      </c>
      <c r="E242" s="70">
        <v>516.60217134229595</v>
      </c>
      <c r="F242" s="70">
        <v>537.91176471512108</v>
      </c>
      <c r="G242" s="70">
        <v>559.22135808794599</v>
      </c>
      <c r="I242" s="115">
        <f>I241-1%</f>
        <v>8.517943945162218E-2</v>
      </c>
      <c r="J242" s="110">
        <f t="shared" si="92"/>
        <v>-2.5781774615633912E-2</v>
      </c>
      <c r="K242" s="110">
        <f t="shared" si="93"/>
        <v>-7.1899448069493888E-2</v>
      </c>
      <c r="L242" s="110">
        <f t="shared" si="94"/>
        <v>-0.11801712152335342</v>
      </c>
      <c r="M242" s="110">
        <f t="shared" si="95"/>
        <v>-0.16413479497721362</v>
      </c>
      <c r="N242" s="110">
        <f t="shared" si="96"/>
        <v>-0.21025246843107315</v>
      </c>
    </row>
    <row r="243" spans="1:14" ht="17" thickBot="1"/>
    <row r="244" spans="1:14" ht="23" thickBot="1">
      <c r="A244" s="155" t="s">
        <v>270</v>
      </c>
      <c r="B244" s="156"/>
      <c r="C244" s="156"/>
      <c r="D244" s="156"/>
      <c r="E244" s="156"/>
      <c r="F244" s="156"/>
      <c r="G244" s="156"/>
      <c r="H244" s="156"/>
      <c r="I244" s="156"/>
      <c r="J244" s="156"/>
      <c r="K244" s="157"/>
    </row>
    <row r="245" spans="1:14" outlineLevel="1"/>
    <row r="246" spans="1:14" outlineLevel="1">
      <c r="C246" s="1"/>
      <c r="D246" s="8" t="s">
        <v>271</v>
      </c>
      <c r="E246" s="1"/>
    </row>
    <row r="247" spans="1:14" outlineLevel="1">
      <c r="C247" s="1"/>
      <c r="D247" s="8" t="s">
        <v>272</v>
      </c>
      <c r="F247" s="8" t="s">
        <v>274</v>
      </c>
    </row>
    <row r="248" spans="1:14" outlineLevel="1">
      <c r="C248" s="46" t="s">
        <v>219</v>
      </c>
      <c r="D248" s="46" t="s">
        <v>273</v>
      </c>
      <c r="E248" s="46" t="s">
        <v>278</v>
      </c>
      <c r="F248" s="46" t="s">
        <v>275</v>
      </c>
    </row>
    <row r="249" spans="1:14" outlineLevel="1">
      <c r="C249" s="61" t="s">
        <v>209</v>
      </c>
      <c r="D249" s="117">
        <f>VALUE(IF($G$4=1,$B$221,$I$249))</f>
        <v>273.75</v>
      </c>
      <c r="E249" s="118">
        <v>0.33329999999999999</v>
      </c>
      <c r="F249" s="10">
        <f>$B$222/306.61-1</f>
        <v>0.50702847265255535</v>
      </c>
      <c r="G249" s="8" t="str">
        <f>IF(F249&lt;-0.2,"BUY",IF(F249&gt;0,"SELL","HOLD"))</f>
        <v>SELL</v>
      </c>
      <c r="I249" s="150">
        <v>273.75</v>
      </c>
    </row>
    <row r="250" spans="1:14" outlineLevel="1">
      <c r="C250" s="61" t="s">
        <v>210</v>
      </c>
      <c r="D250" s="117">
        <f>VALUE(IF($G$4=2,$B$221,$I$250))</f>
        <v>471.80967083820786</v>
      </c>
      <c r="E250" s="118">
        <v>0.33329999999999999</v>
      </c>
      <c r="F250" s="10">
        <f>$B$222/391.68-1</f>
        <v>0.17971303104575154</v>
      </c>
      <c r="G250" s="8" t="str">
        <f t="shared" ref="G250:G251" si="97">IF(F250&lt;-0.2,"BUY",IF(F250&gt;0,"SELL","HOLD"))</f>
        <v>SELL</v>
      </c>
      <c r="I250" s="150">
        <v>471.81</v>
      </c>
    </row>
    <row r="251" spans="1:14" outlineLevel="1">
      <c r="C251" s="61" t="s">
        <v>211</v>
      </c>
      <c r="D251" s="117">
        <f>VALUE(IF($G$4=3,$B$221,$I$251))</f>
        <v>702.05</v>
      </c>
      <c r="E251" s="118">
        <v>0.33329999999999999</v>
      </c>
      <c r="F251" s="10">
        <f>$B$222/489.6-1</f>
        <v>-5.6229575163398771E-2</v>
      </c>
      <c r="G251" s="8" t="str">
        <f t="shared" si="97"/>
        <v>HOLD</v>
      </c>
      <c r="I251" s="150">
        <v>702.05</v>
      </c>
    </row>
    <row r="252" spans="1:14" outlineLevel="1">
      <c r="C252" s="30" t="s">
        <v>276</v>
      </c>
      <c r="D252" s="117">
        <f>SUMPRODUCT(D249:D251,E249:E251)</f>
        <v>482.48830329037469</v>
      </c>
    </row>
    <row r="253" spans="1:14" outlineLevel="1">
      <c r="C253" s="30" t="s">
        <v>277</v>
      </c>
      <c r="D253" s="109">
        <f>B222/D252-1</f>
        <v>-4.2318752913034663E-2</v>
      </c>
    </row>
    <row r="254" spans="1:14" outlineLevel="1">
      <c r="C254" s="30" t="s">
        <v>265</v>
      </c>
      <c r="D254" s="8" t="str">
        <f>IF(D253&lt;-0.2,"BUY",IF(D253&gt;0,"SELL","HOLD"))</f>
        <v>HOLD</v>
      </c>
    </row>
    <row r="255" spans="1:14">
      <c r="D255" s="8"/>
    </row>
    <row r="256" spans="1:14">
      <c r="D256" s="8"/>
    </row>
  </sheetData>
  <mergeCells count="16">
    <mergeCell ref="A123:K123"/>
    <mergeCell ref="A145:K145"/>
    <mergeCell ref="A195:K195"/>
    <mergeCell ref="A226:N226"/>
    <mergeCell ref="B1:F1"/>
    <mergeCell ref="G1:K1"/>
    <mergeCell ref="A5:K5"/>
    <mergeCell ref="A39:K39"/>
    <mergeCell ref="A61:K61"/>
    <mergeCell ref="A94:K94"/>
    <mergeCell ref="A146:K146"/>
    <mergeCell ref="A244:K244"/>
    <mergeCell ref="A173:B173"/>
    <mergeCell ref="I173:K173"/>
    <mergeCell ref="E176:E178"/>
    <mergeCell ref="E179:E181"/>
  </mergeCells>
  <conditionalFormatting sqref="A3">
    <cfRule type="containsText" dxfId="33" priority="22" operator="containsText" text="NOT BALANCED">
      <formula>NOT(ISERROR(SEARCH("NOT BALANCED",A3)))</formula>
    </cfRule>
    <cfRule type="containsText" dxfId="32" priority="23" operator="containsText" text="OK">
      <formula>NOT(ISERROR(SEARCH("OK",A3)))</formula>
    </cfRule>
  </conditionalFormatting>
  <conditionalFormatting sqref="B224">
    <cfRule type="containsText" dxfId="31" priority="19" operator="containsText" text="BUY">
      <formula>NOT(ISERROR(SEARCH("BUY",B224)))</formula>
    </cfRule>
    <cfRule type="containsText" dxfId="30" priority="20" operator="containsText" text="HOLD">
      <formula>NOT(ISERROR(SEARCH("HOLD",B224)))</formula>
    </cfRule>
    <cfRule type="containsText" dxfId="29" priority="21" operator="containsText" text="SELL">
      <formula>NOT(ISERROR(SEARCH("SELL",B224)))</formula>
    </cfRule>
  </conditionalFormatting>
  <conditionalFormatting sqref="C230:G234">
    <cfRule type="cellIs" dxfId="28" priority="10" operator="lessThan">
      <formula>$B$222</formula>
    </cfRule>
    <cfRule type="cellIs" dxfId="27" priority="11" operator="between">
      <formula>$B$222</formula>
      <formula>$B$222*1.2</formula>
    </cfRule>
    <cfRule type="cellIs" dxfId="26" priority="12" operator="greaterThan">
      <formula>$B$222*1.2</formula>
    </cfRule>
  </conditionalFormatting>
  <conditionalFormatting sqref="C238:G242">
    <cfRule type="cellIs" dxfId="25" priority="7" operator="lessThan">
      <formula>$B$222</formula>
    </cfRule>
    <cfRule type="cellIs" dxfId="24" priority="8" operator="between">
      <formula>$B$222</formula>
      <formula>$B$222*1.2</formula>
    </cfRule>
    <cfRule type="cellIs" dxfId="23" priority="9" operator="greaterThan">
      <formula>$B$222*1.2</formula>
    </cfRule>
  </conditionalFormatting>
  <conditionalFormatting sqref="D254:D256">
    <cfRule type="containsText" dxfId="22" priority="13" operator="containsText" text="BUY">
      <formula>NOT(ISERROR(SEARCH("BUY",D254)))</formula>
    </cfRule>
    <cfRule type="containsText" dxfId="21" priority="14" operator="containsText" text="HOLD">
      <formula>NOT(ISERROR(SEARCH("HOLD",D254)))</formula>
    </cfRule>
    <cfRule type="containsText" dxfId="20" priority="15" operator="containsText" text="SELL">
      <formula>NOT(ISERROR(SEARCH("SELL",D254)))</formula>
    </cfRule>
  </conditionalFormatting>
  <conditionalFormatting sqref="G249:G251">
    <cfRule type="containsText" dxfId="19" priority="16" operator="containsText" text="BUY">
      <formula>NOT(ISERROR(SEARCH("BUY",G249)))</formula>
    </cfRule>
    <cfRule type="containsText" dxfId="18" priority="17" operator="containsText" text="HOLD">
      <formula>NOT(ISERROR(SEARCH("HOLD",G249)))</formula>
    </cfRule>
    <cfRule type="containsText" dxfId="17" priority="18" operator="containsText" text="SELL">
      <formula>NOT(ISERROR(SEARCH("SELL",G249)))</formula>
    </cfRule>
  </conditionalFormatting>
  <conditionalFormatting sqref="J230:N234">
    <cfRule type="cellIs" dxfId="16" priority="4" operator="between">
      <formula>0</formula>
      <formula>-0.2</formula>
    </cfRule>
    <cfRule type="cellIs" dxfId="15" priority="5" operator="lessThan">
      <formula>-0.2</formula>
    </cfRule>
    <cfRule type="cellIs" dxfId="14" priority="6" operator="greaterThan">
      <formula>0</formula>
    </cfRule>
  </conditionalFormatting>
  <conditionalFormatting sqref="J238:N242">
    <cfRule type="cellIs" dxfId="13" priority="1" operator="between">
      <formula>0</formula>
      <formula>-0.2</formula>
    </cfRule>
    <cfRule type="cellIs" dxfId="12" priority="2" operator="lessThan">
      <formula>-0.2</formula>
    </cfRule>
    <cfRule type="cellIs" dxfId="11" priority="3" operator="greaterThan">
      <formula>0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76B8-5E9D-EE45-9C6A-3A8D4B1B49E4}">
  <dimension ref="A1:K9"/>
  <sheetViews>
    <sheetView zoomScale="133" workbookViewId="0">
      <pane ySplit="1" topLeftCell="A2" activePane="bottomLeft" state="frozen"/>
      <selection pane="bottomLeft" activeCell="L10" sqref="L10"/>
    </sheetView>
  </sheetViews>
  <sheetFormatPr baseColWidth="10" defaultRowHeight="16"/>
  <cols>
    <col min="1" max="1" width="25" customWidth="1"/>
  </cols>
  <sheetData>
    <row r="1" spans="1:11" ht="23" thickBot="1">
      <c r="A1" s="151" t="s">
        <v>279</v>
      </c>
      <c r="B1" s="164" t="s">
        <v>72</v>
      </c>
      <c r="C1" s="164"/>
      <c r="D1" s="164"/>
      <c r="E1" s="164"/>
      <c r="F1" s="164"/>
      <c r="G1" s="165" t="s">
        <v>73</v>
      </c>
      <c r="H1" s="165"/>
      <c r="I1" s="165"/>
      <c r="J1" s="165"/>
      <c r="K1" s="165"/>
    </row>
    <row r="2" spans="1:11">
      <c r="A2" s="76" t="s">
        <v>218</v>
      </c>
      <c r="B2" s="152">
        <v>44196</v>
      </c>
      <c r="C2" s="152">
        <v>44561</v>
      </c>
      <c r="D2" s="152">
        <v>44926</v>
      </c>
      <c r="E2" s="152">
        <v>45291</v>
      </c>
      <c r="F2" s="152">
        <v>45657</v>
      </c>
      <c r="G2" s="153">
        <v>46022</v>
      </c>
      <c r="H2" s="153">
        <v>46387</v>
      </c>
      <c r="I2" s="153">
        <v>46752</v>
      </c>
      <c r="J2" s="153">
        <v>47118</v>
      </c>
      <c r="K2" s="153">
        <v>47483</v>
      </c>
    </row>
    <row r="3" spans="1:11">
      <c r="A3" s="76"/>
      <c r="B3" s="1"/>
      <c r="C3" s="1"/>
      <c r="D3" s="1"/>
      <c r="E3" s="1"/>
      <c r="F3" s="1"/>
      <c r="G3" s="75"/>
      <c r="H3" s="75"/>
      <c r="I3" s="75"/>
      <c r="J3" s="75"/>
      <c r="K3" s="75"/>
    </row>
    <row r="4" spans="1:11">
      <c r="A4" t="s">
        <v>280</v>
      </c>
      <c r="B4" s="62">
        <f>'Three Statement Model'!B40</f>
        <v>31536</v>
      </c>
      <c r="C4" s="62">
        <f>'Three Statement Model'!C40</f>
        <v>53823</v>
      </c>
      <c r="D4" s="62">
        <f>'Three Statement Model'!D40</f>
        <v>81462</v>
      </c>
      <c r="E4" s="62">
        <f>'Three Statement Model'!E40</f>
        <v>96773</v>
      </c>
      <c r="F4" s="62">
        <f>'Three Statement Model'!F40</f>
        <v>97690</v>
      </c>
      <c r="G4" s="62">
        <f>'Three Statement Model'!G40</f>
        <v>107036.29500000001</v>
      </c>
      <c r="H4" s="62">
        <f>'Three Statement Model'!H40</f>
        <v>118379.87416200002</v>
      </c>
      <c r="I4" s="62">
        <f>'Three Statement Model'!I40</f>
        <v>130647.58036560661</v>
      </c>
      <c r="J4" s="62">
        <f>'Three Statement Model'!J40</f>
        <v>141748.42700774252</v>
      </c>
      <c r="K4" s="62">
        <f>'Three Statement Model'!K40</f>
        <v>152860.07053172964</v>
      </c>
    </row>
    <row r="5" spans="1:11">
      <c r="A5" t="s">
        <v>284</v>
      </c>
      <c r="B5" s="109">
        <f>'Three Statement Model'!B42/'Three Statement Model'!B40</f>
        <v>0.28386605783866059</v>
      </c>
      <c r="C5" s="109">
        <f>'Three Statement Model'!C42/'Three Statement Model'!C40</f>
        <v>0.3068762424985601</v>
      </c>
      <c r="D5" s="109">
        <f>'Three Statement Model'!D42/'Three Statement Model'!D40</f>
        <v>0.3019812918906975</v>
      </c>
      <c r="E5" s="109">
        <f>'Three Statement Model'!E42/'Three Statement Model'!E40</f>
        <v>0.2307151788205388</v>
      </c>
      <c r="F5" s="109">
        <f>'Three Statement Model'!F42/'Three Statement Model'!F40</f>
        <v>0.23357559627392774</v>
      </c>
      <c r="G5" s="109">
        <f>'Three Statement Model'!G42/'Three Statement Model'!G40</f>
        <v>0.18256971805685168</v>
      </c>
      <c r="H5" s="109">
        <f>'Three Statement Model'!H42/'Three Statement Model'!H40</f>
        <v>0.18937248197167086</v>
      </c>
      <c r="I5" s="109">
        <f>'Three Statement Model'!I42/'Three Statement Model'!I40</f>
        <v>0.20676681686602022</v>
      </c>
      <c r="J5" s="109">
        <f>'Three Statement Model'!J42/'Three Statement Model'!J40</f>
        <v>0.2216654963604727</v>
      </c>
      <c r="K5" s="109">
        <f>'Three Statement Model'!K42/'Three Statement Model'!K40</f>
        <v>0.23454604046909205</v>
      </c>
    </row>
    <row r="7" spans="1:11">
      <c r="A7" t="s">
        <v>281</v>
      </c>
      <c r="B7" s="17">
        <f>'Three Statement Model'!B71</f>
        <v>5943</v>
      </c>
      <c r="C7" s="17">
        <f>'Three Statement Model'!C71</f>
        <v>11497</v>
      </c>
      <c r="D7" s="17">
        <f>'Three Statement Model'!D71</f>
        <v>14724</v>
      </c>
      <c r="E7" s="17">
        <f>'Three Statement Model'!E71</f>
        <v>13256</v>
      </c>
      <c r="F7" s="17">
        <f>'Three Statement Model'!F71</f>
        <v>14923</v>
      </c>
      <c r="G7" s="17">
        <f>'Three Statement Model'!G71</f>
        <v>10395.567879750008</v>
      </c>
      <c r="H7" s="17">
        <f>'Three Statement Model'!H71</f>
        <v>12974.312384566669</v>
      </c>
      <c r="I7" s="17">
        <f>'Three Statement Model'!I71</f>
        <v>15981.279462879826</v>
      </c>
      <c r="J7" s="17">
        <f>'Three Statement Model'!J71</f>
        <v>18808.176717800641</v>
      </c>
      <c r="K7" s="17">
        <f>'Three Statement Model'!K71</f>
        <v>21842.435492425459</v>
      </c>
    </row>
    <row r="8" spans="1:11">
      <c r="A8" t="s">
        <v>282</v>
      </c>
      <c r="B8" s="17">
        <f>'Three Statement Model'!B76</f>
        <v>-3132</v>
      </c>
      <c r="C8" s="17">
        <f>'Three Statement Model'!C76</f>
        <v>-7868</v>
      </c>
      <c r="D8" s="17">
        <f>'Three Statement Model'!D76</f>
        <v>-11973</v>
      </c>
      <c r="E8" s="17">
        <f>'Three Statement Model'!E76</f>
        <v>-15584</v>
      </c>
      <c r="F8" s="17">
        <f>'Three Statement Model'!F76</f>
        <v>-18787</v>
      </c>
      <c r="G8" s="17">
        <f>'Three Statement Model'!G76</f>
        <v>-6335.0737500000032</v>
      </c>
      <c r="H8" s="17">
        <f>'Three Statement Model'!H76</f>
        <v>-13539.524290500007</v>
      </c>
      <c r="I8" s="17">
        <f>'Three Statement Model'!I76</f>
        <v>-14904.913967101649</v>
      </c>
      <c r="J8" s="17">
        <f>'Three Statement Model'!J76</f>
        <v>-15839.969697094637</v>
      </c>
      <c r="K8" s="17">
        <f>'Three Statement Model'!K76</f>
        <v>-16952.753581771034</v>
      </c>
    </row>
    <row r="9" spans="1:11">
      <c r="A9" t="s">
        <v>283</v>
      </c>
      <c r="B9" s="17">
        <f>'Three Statement Model'!B83</f>
        <v>9973</v>
      </c>
      <c r="C9" s="17">
        <f>'Three Statement Model'!C83</f>
        <v>-5203</v>
      </c>
      <c r="D9" s="17">
        <f>'Three Statement Model'!D83</f>
        <v>-3527</v>
      </c>
      <c r="E9" s="17">
        <f>'Three Statement Model'!E83</f>
        <v>2589</v>
      </c>
      <c r="F9" s="17">
        <f>'Three Statement Model'!F83</f>
        <v>3853</v>
      </c>
      <c r="G9" s="17">
        <f>'Three Statement Model'!G83</f>
        <v>-2353</v>
      </c>
      <c r="H9" s="17">
        <f>'Three Statement Model'!H83</f>
        <v>-4116</v>
      </c>
      <c r="I9" s="17">
        <f>'Three Statement Model'!I83</f>
        <v>-699</v>
      </c>
      <c r="J9" s="17">
        <f>'Three Statement Model'!J83</f>
        <v>-243</v>
      </c>
      <c r="K9" s="17">
        <f>'Three Statement Model'!K83</f>
        <v>-95</v>
      </c>
    </row>
  </sheetData>
  <mergeCells count="2">
    <mergeCell ref="B1:F1"/>
    <mergeCell ref="G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D066-06FD-B641-964C-FF520D91E70E}">
  <dimension ref="A1:K28"/>
  <sheetViews>
    <sheetView workbookViewId="0">
      <selection activeCell="M17" sqref="M17"/>
    </sheetView>
  </sheetViews>
  <sheetFormatPr baseColWidth="10" defaultRowHeight="16"/>
  <cols>
    <col min="1" max="1" width="33.5" bestFit="1" customWidth="1"/>
    <col min="2" max="11" width="13.33203125" customWidth="1"/>
  </cols>
  <sheetData>
    <row r="1" spans="1:11" ht="23" thickBot="1">
      <c r="A1" s="155" t="s">
        <v>313</v>
      </c>
      <c r="B1" s="156"/>
      <c r="C1" s="156"/>
      <c r="D1" s="156"/>
      <c r="E1" s="156"/>
      <c r="F1" s="156"/>
      <c r="G1" s="156"/>
      <c r="H1" s="156"/>
      <c r="I1" s="156"/>
      <c r="J1" s="156"/>
      <c r="K1" s="157"/>
    </row>
    <row r="2" spans="1:11">
      <c r="A2" s="122" t="s">
        <v>0</v>
      </c>
      <c r="B2" s="122"/>
      <c r="C2" s="122"/>
      <c r="D2" s="122"/>
      <c r="E2" s="122"/>
      <c r="F2" s="122"/>
      <c r="G2" s="123"/>
      <c r="H2" s="123"/>
      <c r="I2" s="123"/>
      <c r="J2" s="123"/>
      <c r="K2" s="123"/>
    </row>
    <row r="3" spans="1:11">
      <c r="A3" s="2" t="s">
        <v>1</v>
      </c>
      <c r="B3" s="125">
        <v>27236</v>
      </c>
      <c r="C3" s="125">
        <v>47232</v>
      </c>
      <c r="D3" s="125">
        <v>71462</v>
      </c>
      <c r="E3" s="125">
        <v>82419</v>
      </c>
      <c r="F3" s="125">
        <v>77070</v>
      </c>
      <c r="G3" s="58">
        <f>G15*G17</f>
        <v>79266.49500000001</v>
      </c>
      <c r="H3" s="58">
        <f>H15*H17</f>
        <v>83039.580162000013</v>
      </c>
      <c r="I3" s="58">
        <f>I15*I17</f>
        <v>87963.827265606611</v>
      </c>
      <c r="J3" s="58">
        <f>J15*J17</f>
        <v>91900.208535742509</v>
      </c>
      <c r="K3" s="58">
        <f>K15*K17</f>
        <v>96495.218962529645</v>
      </c>
    </row>
    <row r="4" spans="1:11">
      <c r="A4" s="2" t="s">
        <v>2</v>
      </c>
      <c r="B4" s="126">
        <v>1994</v>
      </c>
      <c r="C4" s="126">
        <v>2789</v>
      </c>
      <c r="D4" s="126">
        <v>3909</v>
      </c>
      <c r="E4" s="126">
        <v>6035</v>
      </c>
      <c r="F4" s="126">
        <v>10086</v>
      </c>
      <c r="G4" s="25">
        <f>F4*(1+G23)</f>
        <v>15129</v>
      </c>
      <c r="H4" s="25">
        <f>G4*(1+H23)</f>
        <v>20424.150000000001</v>
      </c>
      <c r="I4" s="25">
        <f>H4*(1+I23)</f>
        <v>25530.1875</v>
      </c>
      <c r="J4" s="25">
        <f>I4*(1+J23)</f>
        <v>30636.224999999999</v>
      </c>
      <c r="K4" s="25">
        <f>J4*(1+K23)</f>
        <v>35231.658749999995</v>
      </c>
    </row>
    <row r="5" spans="1:11">
      <c r="A5" s="2" t="s">
        <v>3</v>
      </c>
      <c r="B5" s="126">
        <v>2306</v>
      </c>
      <c r="C5" s="126">
        <v>3802</v>
      </c>
      <c r="D5" s="126">
        <v>6091</v>
      </c>
      <c r="E5" s="126">
        <v>8319</v>
      </c>
      <c r="F5" s="126">
        <v>10534</v>
      </c>
      <c r="G5" s="25">
        <f>F5*(1+G27)</f>
        <v>12640.8</v>
      </c>
      <c r="H5" s="25">
        <f>G5*(1+H27)</f>
        <v>14916.143999999998</v>
      </c>
      <c r="I5" s="25">
        <f>H5*(1+I27)</f>
        <v>17153.565599999998</v>
      </c>
      <c r="J5" s="25">
        <f>I5*(1+J27)</f>
        <v>19211.993471999998</v>
      </c>
      <c r="K5" s="25">
        <f>J5*(1+K27)</f>
        <v>21133.192819200001</v>
      </c>
    </row>
    <row r="6" spans="1:11">
      <c r="A6" s="4" t="s">
        <v>4</v>
      </c>
      <c r="B6" s="6">
        <f t="shared" ref="B6:K6" si="0">SUM(B3:B5)</f>
        <v>31536</v>
      </c>
      <c r="C6" s="6">
        <f t="shared" si="0"/>
        <v>53823</v>
      </c>
      <c r="D6" s="6">
        <f t="shared" si="0"/>
        <v>81462</v>
      </c>
      <c r="E6" s="6">
        <f t="shared" si="0"/>
        <v>96773</v>
      </c>
      <c r="F6" s="6">
        <f t="shared" si="0"/>
        <v>97690</v>
      </c>
      <c r="G6" s="6">
        <f t="shared" si="0"/>
        <v>107036.29500000001</v>
      </c>
      <c r="H6" s="6">
        <f t="shared" si="0"/>
        <v>118379.87416200002</v>
      </c>
      <c r="I6" s="6">
        <f t="shared" si="0"/>
        <v>130647.58036560661</v>
      </c>
      <c r="J6" s="6">
        <f t="shared" si="0"/>
        <v>141748.42700774252</v>
      </c>
      <c r="K6" s="6">
        <f t="shared" si="0"/>
        <v>152860.07053172964</v>
      </c>
    </row>
    <row r="7" spans="1:11">
      <c r="B7" s="5"/>
      <c r="C7" s="5"/>
      <c r="D7" s="5"/>
      <c r="E7" s="5"/>
      <c r="F7" s="5"/>
      <c r="G7" s="86"/>
      <c r="H7" s="86"/>
      <c r="I7" s="86"/>
      <c r="J7" s="86"/>
      <c r="K7" s="86"/>
    </row>
    <row r="8" spans="1:11">
      <c r="A8" s="2" t="s">
        <v>5</v>
      </c>
      <c r="B8" s="126">
        <v>20259</v>
      </c>
      <c r="C8" s="126">
        <v>33393</v>
      </c>
      <c r="D8" s="126">
        <v>51108</v>
      </c>
      <c r="E8" s="126">
        <v>66389</v>
      </c>
      <c r="F8" s="126">
        <v>62873</v>
      </c>
      <c r="G8" s="25">
        <f>G15*G19</f>
        <v>67500.452799999999</v>
      </c>
      <c r="H8" s="25">
        <f>H15*H19</f>
        <v>71223.777776448012</v>
      </c>
      <c r="I8" s="25">
        <f>I15*I19</f>
        <v>74609.043934162575</v>
      </c>
      <c r="J8" s="25">
        <f>J15*J19</f>
        <v>76929.38520051504</v>
      </c>
      <c r="K8" s="25">
        <f>K15*K19</f>
        <v>79806.544207014318</v>
      </c>
    </row>
    <row r="9" spans="1:11">
      <c r="A9" s="2" t="s">
        <v>6</v>
      </c>
      <c r="B9" s="126">
        <v>1976</v>
      </c>
      <c r="C9" s="126">
        <v>2918</v>
      </c>
      <c r="D9" s="126">
        <v>3621</v>
      </c>
      <c r="E9" s="126">
        <v>4894</v>
      </c>
      <c r="F9" s="126">
        <v>7446</v>
      </c>
      <c r="G9" s="25">
        <f>G4*(1-G24)</f>
        <v>10892.88</v>
      </c>
      <c r="H9" s="25">
        <f>H4*(1-H24)</f>
        <v>14296.905000000001</v>
      </c>
      <c r="I9" s="25">
        <f>I4*(1-I24)</f>
        <v>17360.5275</v>
      </c>
      <c r="J9" s="25">
        <f>J4*(1-J24)</f>
        <v>20526.270749999996</v>
      </c>
      <c r="K9" s="25">
        <f>K4*(1-K24)</f>
        <v>23252.894774999993</v>
      </c>
    </row>
    <row r="10" spans="1:11">
      <c r="A10" s="2" t="s">
        <v>7</v>
      </c>
      <c r="B10" s="126">
        <v>2671</v>
      </c>
      <c r="C10" s="126">
        <v>3906</v>
      </c>
      <c r="D10" s="126">
        <v>5880</v>
      </c>
      <c r="E10" s="126">
        <v>7830</v>
      </c>
      <c r="F10" s="126">
        <v>9921</v>
      </c>
      <c r="G10" s="25">
        <f>G5*(1-G24)</f>
        <v>9101.3759999999984</v>
      </c>
      <c r="H10" s="25">
        <f>H5*(1-H24)</f>
        <v>10441.300799999999</v>
      </c>
      <c r="I10" s="25">
        <f>I5*(1-I24)</f>
        <v>11664.424607999998</v>
      </c>
      <c r="J10" s="25">
        <f>J5*(1-J24)</f>
        <v>12872.035626239998</v>
      </c>
      <c r="K10" s="25">
        <f>K5*(1-K24)</f>
        <v>13947.907260672</v>
      </c>
    </row>
    <row r="11" spans="1:11">
      <c r="A11" s="4" t="s">
        <v>315</v>
      </c>
      <c r="B11" s="6">
        <f t="shared" ref="B11:K11" si="1">SUM(B8:B10)</f>
        <v>24906</v>
      </c>
      <c r="C11" s="6">
        <f t="shared" si="1"/>
        <v>40217</v>
      </c>
      <c r="D11" s="6">
        <f t="shared" si="1"/>
        <v>60609</v>
      </c>
      <c r="E11" s="6">
        <f t="shared" si="1"/>
        <v>79113</v>
      </c>
      <c r="F11" s="6">
        <f t="shared" si="1"/>
        <v>80240</v>
      </c>
      <c r="G11" s="6">
        <f t="shared" si="1"/>
        <v>87494.708800000008</v>
      </c>
      <c r="H11" s="6">
        <f t="shared" si="1"/>
        <v>95961.983576448009</v>
      </c>
      <c r="I11" s="6">
        <f t="shared" si="1"/>
        <v>103633.99604216257</v>
      </c>
      <c r="J11" s="6">
        <f t="shared" si="1"/>
        <v>110327.69157675504</v>
      </c>
      <c r="K11" s="6">
        <f t="shared" si="1"/>
        <v>117007.34624268631</v>
      </c>
    </row>
    <row r="12" spans="1:11">
      <c r="A12" s="1"/>
      <c r="G12" s="86"/>
      <c r="H12" s="86"/>
      <c r="I12" s="86"/>
      <c r="J12" s="86"/>
      <c r="K12" s="86"/>
    </row>
    <row r="13" spans="1:11">
      <c r="A13" s="1" t="s">
        <v>18</v>
      </c>
      <c r="G13" s="86"/>
      <c r="H13" s="86"/>
      <c r="I13" s="86"/>
      <c r="J13" s="86"/>
      <c r="K13" s="86"/>
    </row>
    <row r="14" spans="1:11">
      <c r="A14" s="120" t="s">
        <v>312</v>
      </c>
      <c r="B14" s="130"/>
      <c r="C14" s="130"/>
      <c r="D14" s="130"/>
      <c r="E14" s="130"/>
      <c r="F14" s="130"/>
      <c r="G14" s="131"/>
      <c r="H14" s="131"/>
      <c r="I14" s="131"/>
      <c r="J14" s="131"/>
      <c r="K14" s="131"/>
    </row>
    <row r="15" spans="1:11">
      <c r="A15" s="2" t="s">
        <v>316</v>
      </c>
      <c r="B15" s="124">
        <v>499647</v>
      </c>
      <c r="C15" s="124">
        <v>936222</v>
      </c>
      <c r="D15" s="124">
        <v>1313851</v>
      </c>
      <c r="E15" s="124">
        <v>1808581</v>
      </c>
      <c r="F15" s="124">
        <v>1789266</v>
      </c>
      <c r="G15" s="129">
        <f>F15*(1+G16)</f>
        <v>1968192.6</v>
      </c>
      <c r="H15" s="129">
        <f>G15*(1+H16)</f>
        <v>2125648.0080000004</v>
      </c>
      <c r="I15" s="129">
        <f>H15*(1+I16)</f>
        <v>2274443.3685600003</v>
      </c>
      <c r="J15" s="129">
        <f>I15*(1+J16)</f>
        <v>2388165.5369880004</v>
      </c>
      <c r="K15" s="129">
        <f>J15*(1+K16)</f>
        <v>2507573.8138374006</v>
      </c>
    </row>
    <row r="16" spans="1:11">
      <c r="A16" s="20" t="s">
        <v>19</v>
      </c>
      <c r="C16" s="10">
        <f>C15/B15-1</f>
        <v>0.87376687941686826</v>
      </c>
      <c r="D16" s="10">
        <f>D15/C15-1</f>
        <v>0.40335411900168983</v>
      </c>
      <c r="E16" s="10">
        <f>E15/D15-1</f>
        <v>0.37654954785588313</v>
      </c>
      <c r="F16" s="10">
        <f>F15/E15-1</f>
        <v>-1.0679643322582755E-2</v>
      </c>
      <c r="G16" s="128">
        <v>0.1</v>
      </c>
      <c r="H16" s="128">
        <v>0.08</v>
      </c>
      <c r="I16" s="128">
        <v>7.0000000000000007E-2</v>
      </c>
      <c r="J16" s="128">
        <v>0.05</v>
      </c>
      <c r="K16" s="128">
        <v>0.05</v>
      </c>
    </row>
    <row r="17" spans="1:11">
      <c r="A17" s="2" t="s">
        <v>22</v>
      </c>
      <c r="B17" s="9">
        <f>B3/B15</f>
        <v>5.4510484401987802E-2</v>
      </c>
      <c r="C17" s="9">
        <f>C3/C15</f>
        <v>5.0449572857719643E-2</v>
      </c>
      <c r="D17" s="9">
        <f>D3/D15</f>
        <v>5.4391251367164162E-2</v>
      </c>
      <c r="E17" s="9">
        <f>E3/E15</f>
        <v>4.5571085840225019E-2</v>
      </c>
      <c r="F17" s="9">
        <f>F3/F15</f>
        <v>4.3073528474804751E-2</v>
      </c>
      <c r="G17" s="9">
        <f>F17*(1+G18)</f>
        <v>4.0273749123942444E-2</v>
      </c>
      <c r="H17" s="9">
        <f>G17*(1+H18)</f>
        <v>3.9065536650224171E-2</v>
      </c>
      <c r="I17" s="9">
        <f>H17*(1+I18)</f>
        <v>3.8674881283721929E-2</v>
      </c>
      <c r="J17" s="9">
        <f>I17*(1+J18)</f>
        <v>3.8481506877303319E-2</v>
      </c>
      <c r="K17" s="9">
        <f>J17*(1+K18)</f>
        <v>3.8481506877303319E-2</v>
      </c>
    </row>
    <row r="18" spans="1:11">
      <c r="A18" s="20" t="s">
        <v>20</v>
      </c>
      <c r="C18" s="10">
        <f>C17/B17-1</f>
        <v>-7.4497806959867519E-2</v>
      </c>
      <c r="D18" s="10">
        <f>D17/C17-1</f>
        <v>7.8131058127311359E-2</v>
      </c>
      <c r="E18" s="10">
        <f>E17/D17-1</f>
        <v>-0.16216147459817132</v>
      </c>
      <c r="F18" s="10">
        <f>F17/E17-1</f>
        <v>-5.4805746217609475E-2</v>
      </c>
      <c r="G18" s="128">
        <v>-6.5000000000000002E-2</v>
      </c>
      <c r="H18" s="128">
        <v>-0.03</v>
      </c>
      <c r="I18" s="128">
        <v>-0.01</v>
      </c>
      <c r="J18" s="128">
        <v>-5.0000000000000001E-3</v>
      </c>
      <c r="K18" s="128">
        <v>0</v>
      </c>
    </row>
    <row r="19" spans="1:11">
      <c r="A19" s="2" t="s">
        <v>23</v>
      </c>
      <c r="B19" s="9">
        <f>B8/B15</f>
        <v>4.0546625917898038E-2</v>
      </c>
      <c r="C19" s="9">
        <f>C8/C15</f>
        <v>3.5667822375462233E-2</v>
      </c>
      <c r="D19" s="9">
        <f>D8/D15</f>
        <v>3.8899388134575379E-2</v>
      </c>
      <c r="E19" s="9">
        <f>E8/E15</f>
        <v>3.6707783615995082E-2</v>
      </c>
      <c r="F19" s="9">
        <f>F8/F15</f>
        <v>3.5138989954540019E-2</v>
      </c>
      <c r="G19" s="9">
        <f>F19*(1+G20)</f>
        <v>3.4295654195631055E-2</v>
      </c>
      <c r="H19" s="9">
        <f>G19*(1+H20)</f>
        <v>3.3506854149131543E-2</v>
      </c>
      <c r="I19" s="9">
        <f>H19*(1+I20)</f>
        <v>3.2803210211999778E-2</v>
      </c>
      <c r="J19" s="9">
        <f>I19*(1+J20)</f>
        <v>3.2212752428183784E-2</v>
      </c>
      <c r="K19" s="9">
        <f>J19*(1+K20)</f>
        <v>3.1826199399045581E-2</v>
      </c>
    </row>
    <row r="20" spans="1:11">
      <c r="A20" s="20" t="s">
        <v>21</v>
      </c>
      <c r="C20" s="10">
        <f>C19/B19-1</f>
        <v>-0.12032575909805132</v>
      </c>
      <c r="D20" s="10">
        <f>D19/C19-1</f>
        <v>9.0601711679945796E-2</v>
      </c>
      <c r="E20" s="10">
        <f>E19/D19-1</f>
        <v>-5.6340333966135248E-2</v>
      </c>
      <c r="F20" s="10">
        <f>F19/E19-1</f>
        <v>-4.2737357228276651E-2</v>
      </c>
      <c r="G20" s="128">
        <v>-2.4E-2</v>
      </c>
      <c r="H20" s="128">
        <v>-2.3E-2</v>
      </c>
      <c r="I20" s="128">
        <v>-2.1000000000000001E-2</v>
      </c>
      <c r="J20" s="128">
        <v>-1.7999999999999999E-2</v>
      </c>
      <c r="K20" s="128">
        <v>-1.2E-2</v>
      </c>
    </row>
    <row r="21" spans="1:11">
      <c r="A21" s="20"/>
      <c r="C21" s="10"/>
      <c r="D21" s="10"/>
      <c r="E21" s="10"/>
      <c r="F21" s="10"/>
      <c r="G21" s="128"/>
      <c r="H21" s="128"/>
      <c r="I21" s="128"/>
      <c r="J21" s="128"/>
      <c r="K21" s="128"/>
    </row>
    <row r="22" spans="1:11">
      <c r="A22" s="12" t="s">
        <v>2</v>
      </c>
      <c r="B22" s="3"/>
      <c r="C22" s="3"/>
      <c r="D22" s="3"/>
      <c r="E22" s="3"/>
      <c r="F22" s="3"/>
      <c r="G22" s="127"/>
      <c r="H22" s="127"/>
      <c r="I22" s="127"/>
      <c r="J22" s="127"/>
      <c r="K22" s="127"/>
    </row>
    <row r="23" spans="1:11">
      <c r="A23" s="2" t="s">
        <v>25</v>
      </c>
      <c r="C23" s="10">
        <f>C4/B4-1</f>
        <v>0.3986960882647943</v>
      </c>
      <c r="D23" s="10">
        <f>D4/C4-1</f>
        <v>0.40157762638938688</v>
      </c>
      <c r="E23" s="10">
        <f>E4/D4-1</f>
        <v>0.54387311332821686</v>
      </c>
      <c r="F23" s="10">
        <f>F4/E4-1</f>
        <v>0.67125103562551791</v>
      </c>
      <c r="G23" s="128">
        <v>0.5</v>
      </c>
      <c r="H23" s="128">
        <v>0.35</v>
      </c>
      <c r="I23" s="128">
        <v>0.25</v>
      </c>
      <c r="J23" s="128">
        <v>0.2</v>
      </c>
      <c r="K23" s="128">
        <v>0.15</v>
      </c>
    </row>
    <row r="24" spans="1:11">
      <c r="A24" s="2" t="s">
        <v>24</v>
      </c>
      <c r="B24" s="10">
        <f>1-B9/B4</f>
        <v>9.0270812437311942E-3</v>
      </c>
      <c r="C24" s="10">
        <f>1-C9/C4</f>
        <v>-4.6253137325206195E-2</v>
      </c>
      <c r="D24" s="10">
        <f>1-D9/D4</f>
        <v>7.3676132003069883E-2</v>
      </c>
      <c r="E24" s="10">
        <f>1-E9/E4</f>
        <v>0.18906379453189726</v>
      </c>
      <c r="F24" s="10">
        <f>1-F9/F4</f>
        <v>0.26174895895300421</v>
      </c>
      <c r="G24" s="128">
        <v>0.28000000000000003</v>
      </c>
      <c r="H24" s="128">
        <v>0.3</v>
      </c>
      <c r="I24" s="128">
        <v>0.32</v>
      </c>
      <c r="J24" s="128">
        <v>0.33</v>
      </c>
      <c r="K24" s="128">
        <v>0.34</v>
      </c>
    </row>
    <row r="25" spans="1:11">
      <c r="A25" s="1"/>
      <c r="G25" s="86"/>
      <c r="H25" s="86"/>
      <c r="I25" s="86"/>
      <c r="J25" s="86"/>
      <c r="K25" s="86"/>
    </row>
    <row r="26" spans="1:11">
      <c r="A26" s="132" t="s">
        <v>3</v>
      </c>
      <c r="B26" s="3"/>
      <c r="C26" s="3"/>
      <c r="D26" s="3"/>
      <c r="E26" s="3"/>
      <c r="F26" s="3"/>
      <c r="G26" s="127"/>
      <c r="H26" s="127"/>
      <c r="I26" s="127"/>
      <c r="J26" s="127"/>
      <c r="K26" s="127"/>
    </row>
    <row r="27" spans="1:11">
      <c r="A27" s="2" t="s">
        <v>26</v>
      </c>
      <c r="C27" s="10">
        <f>C5/B5-1</f>
        <v>0.64874241110147435</v>
      </c>
      <c r="D27" s="10">
        <f>D5/C5-1</f>
        <v>0.60205155181483438</v>
      </c>
      <c r="E27" s="10">
        <f>E5/D5-1</f>
        <v>0.36578558528977179</v>
      </c>
      <c r="F27" s="10">
        <f>F5/E5-1</f>
        <v>0.26625796369755972</v>
      </c>
      <c r="G27" s="128">
        <v>0.2</v>
      </c>
      <c r="H27" s="128">
        <v>0.18</v>
      </c>
      <c r="I27" s="128">
        <v>0.15</v>
      </c>
      <c r="J27" s="128">
        <v>0.12</v>
      </c>
      <c r="K27" s="128">
        <v>0.1</v>
      </c>
    </row>
    <row r="28" spans="1:11">
      <c r="A28" s="2" t="s">
        <v>27</v>
      </c>
      <c r="B28" s="10">
        <f>1-B10/B5</f>
        <v>-0.15828274067649617</v>
      </c>
      <c r="C28" s="10">
        <f>1-C10/C5</f>
        <v>-2.7354024197790539E-2</v>
      </c>
      <c r="D28" s="10">
        <f>1-D10/D5</f>
        <v>3.464127401083561E-2</v>
      </c>
      <c r="E28" s="10">
        <f>1-E10/E5</f>
        <v>5.8781103498016574E-2</v>
      </c>
      <c r="F28" s="10">
        <f>1-F10/F5</f>
        <v>5.8192519460793624E-2</v>
      </c>
      <c r="G28" s="128">
        <v>0.06</v>
      </c>
      <c r="H28" s="128">
        <v>6.5000000000000002E-2</v>
      </c>
      <c r="I28" s="128">
        <v>6.5000000000000002E-2</v>
      </c>
      <c r="J28" s="128">
        <v>7.0000000000000007E-2</v>
      </c>
      <c r="K28" s="128">
        <v>7.0000000000000007E-2</v>
      </c>
    </row>
  </sheetData>
  <mergeCells count="1">
    <mergeCell ref="A1:K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4D6-402C-B849-A044-359295A13EC0}">
  <dimension ref="A1:N136"/>
  <sheetViews>
    <sheetView zoomScale="109" workbookViewId="0">
      <pane ySplit="1" topLeftCell="A37" activePane="bottomLeft" state="frozen"/>
      <selection pane="bottomLeft" activeCell="C102" sqref="C102"/>
    </sheetView>
  </sheetViews>
  <sheetFormatPr baseColWidth="10" defaultRowHeight="16"/>
  <cols>
    <col min="1" max="1" width="62.83203125" style="13" customWidth="1"/>
    <col min="2" max="3" width="10.83203125" style="14" customWidth="1"/>
    <col min="4" max="6" width="11.83203125" style="14" bestFit="1" customWidth="1"/>
    <col min="7" max="7" width="30.5" style="13" bestFit="1" customWidth="1"/>
    <col min="8" max="8" width="10.83203125" style="13"/>
    <col min="9" max="9" width="28.33203125" style="13" bestFit="1" customWidth="1"/>
    <col min="10" max="16384" width="10.83203125" style="13"/>
  </cols>
  <sheetData>
    <row r="1" spans="1:14">
      <c r="A1" s="40"/>
      <c r="B1" s="41">
        <v>2020</v>
      </c>
      <c r="C1" s="41">
        <v>2021</v>
      </c>
      <c r="D1" s="41">
        <v>2022</v>
      </c>
      <c r="E1" s="41">
        <v>2023</v>
      </c>
      <c r="F1" s="41">
        <v>2024</v>
      </c>
    </row>
    <row r="2" spans="1:14" ht="17" thickBot="1">
      <c r="A2" s="40" t="s">
        <v>11</v>
      </c>
      <c r="B2" s="41"/>
      <c r="C2" s="41"/>
      <c r="D2" s="42"/>
      <c r="E2" s="42"/>
      <c r="F2" s="42"/>
    </row>
    <row r="3" spans="1:14" ht="17" thickBot="1">
      <c r="A3" s="15" t="s">
        <v>47</v>
      </c>
      <c r="B3" s="31"/>
      <c r="C3" s="31"/>
      <c r="G3" s="47" t="s">
        <v>145</v>
      </c>
      <c r="J3" s="41">
        <v>2020</v>
      </c>
      <c r="K3" s="41">
        <v>2021</v>
      </c>
      <c r="L3" s="41">
        <v>2022</v>
      </c>
      <c r="M3" s="41">
        <v>2023</v>
      </c>
      <c r="N3" s="41">
        <v>2024</v>
      </c>
    </row>
    <row r="4" spans="1:14">
      <c r="A4" s="16" t="s">
        <v>48</v>
      </c>
      <c r="B4" s="52">
        <v>19384</v>
      </c>
      <c r="C4" s="52">
        <v>17576</v>
      </c>
      <c r="D4" s="52">
        <v>16253</v>
      </c>
      <c r="E4" s="52">
        <v>16398</v>
      </c>
      <c r="F4" s="52">
        <v>16139</v>
      </c>
      <c r="G4" s="48" t="s">
        <v>48</v>
      </c>
      <c r="I4" s="49" t="s">
        <v>48</v>
      </c>
      <c r="J4" s="58">
        <f>B4</f>
        <v>19384</v>
      </c>
      <c r="K4" s="58">
        <f t="shared" ref="K4:N8" si="0">C4</f>
        <v>17576</v>
      </c>
      <c r="L4" s="58">
        <f t="shared" si="0"/>
        <v>16253</v>
      </c>
      <c r="M4" s="58">
        <f t="shared" si="0"/>
        <v>16398</v>
      </c>
      <c r="N4" s="58">
        <f t="shared" si="0"/>
        <v>16139</v>
      </c>
    </row>
    <row r="5" spans="1:14">
      <c r="A5" s="16" t="s">
        <v>13</v>
      </c>
      <c r="B5" s="53">
        <v>0</v>
      </c>
      <c r="C5" s="53">
        <v>131</v>
      </c>
      <c r="D5" s="53">
        <v>5932</v>
      </c>
      <c r="E5" s="53">
        <v>12696</v>
      </c>
      <c r="F5" s="53">
        <v>20424</v>
      </c>
      <c r="G5" s="48" t="s">
        <v>13</v>
      </c>
      <c r="I5" s="49" t="s">
        <v>13</v>
      </c>
      <c r="J5" s="51">
        <f>B5</f>
        <v>0</v>
      </c>
      <c r="K5" s="51">
        <f t="shared" si="0"/>
        <v>131</v>
      </c>
      <c r="L5" s="51">
        <f t="shared" si="0"/>
        <v>5932</v>
      </c>
      <c r="M5" s="51">
        <f t="shared" si="0"/>
        <v>12696</v>
      </c>
      <c r="N5" s="51">
        <f t="shared" si="0"/>
        <v>20424</v>
      </c>
    </row>
    <row r="6" spans="1:14">
      <c r="A6" s="16" t="s">
        <v>49</v>
      </c>
      <c r="B6" s="53">
        <v>1886</v>
      </c>
      <c r="C6" s="53">
        <v>1913</v>
      </c>
      <c r="D6" s="53">
        <v>2952</v>
      </c>
      <c r="E6" s="53">
        <v>3508</v>
      </c>
      <c r="F6" s="53">
        <v>4418</v>
      </c>
      <c r="G6" s="48" t="s">
        <v>49</v>
      </c>
      <c r="I6" s="49" t="s">
        <v>49</v>
      </c>
      <c r="J6" s="51">
        <f>B6</f>
        <v>1886</v>
      </c>
      <c r="K6" s="51">
        <f t="shared" si="0"/>
        <v>1913</v>
      </c>
      <c r="L6" s="51">
        <f t="shared" si="0"/>
        <v>2952</v>
      </c>
      <c r="M6" s="51">
        <f t="shared" si="0"/>
        <v>3508</v>
      </c>
      <c r="N6" s="51">
        <f t="shared" si="0"/>
        <v>4418</v>
      </c>
    </row>
    <row r="7" spans="1:14">
      <c r="A7" s="16" t="s">
        <v>14</v>
      </c>
      <c r="B7" s="53">
        <v>4101</v>
      </c>
      <c r="C7" s="53">
        <v>5757</v>
      </c>
      <c r="D7" s="53">
        <v>12839</v>
      </c>
      <c r="E7" s="53">
        <v>13626</v>
      </c>
      <c r="F7" s="53">
        <v>12017</v>
      </c>
      <c r="G7" s="48" t="s">
        <v>14</v>
      </c>
      <c r="I7" s="49" t="s">
        <v>14</v>
      </c>
      <c r="J7" s="51">
        <f>B7</f>
        <v>4101</v>
      </c>
      <c r="K7" s="51">
        <f t="shared" si="0"/>
        <v>5757</v>
      </c>
      <c r="L7" s="51">
        <f t="shared" si="0"/>
        <v>12839</v>
      </c>
      <c r="M7" s="51">
        <f t="shared" si="0"/>
        <v>13626</v>
      </c>
      <c r="N7" s="51">
        <f t="shared" si="0"/>
        <v>12017</v>
      </c>
    </row>
    <row r="8" spans="1:14">
      <c r="A8" s="16" t="s">
        <v>50</v>
      </c>
      <c r="B8" s="53">
        <v>1346</v>
      </c>
      <c r="C8" s="53">
        <v>1723</v>
      </c>
      <c r="D8" s="53">
        <v>2941</v>
      </c>
      <c r="E8" s="53">
        <v>3388</v>
      </c>
      <c r="F8" s="53">
        <v>5362</v>
      </c>
      <c r="G8" s="48" t="s">
        <v>148</v>
      </c>
      <c r="I8" s="49" t="s">
        <v>148</v>
      </c>
      <c r="J8" s="51">
        <f>B8</f>
        <v>1346</v>
      </c>
      <c r="K8" s="51">
        <f t="shared" si="0"/>
        <v>1723</v>
      </c>
      <c r="L8" s="51">
        <f t="shared" si="0"/>
        <v>2941</v>
      </c>
      <c r="M8" s="51">
        <f t="shared" si="0"/>
        <v>3388</v>
      </c>
      <c r="N8" s="51">
        <f t="shared" si="0"/>
        <v>5362</v>
      </c>
    </row>
    <row r="9" spans="1:14">
      <c r="A9" s="27" t="s">
        <v>51</v>
      </c>
      <c r="B9" s="34">
        <v>26717</v>
      </c>
      <c r="C9" s="34">
        <v>27100</v>
      </c>
      <c r="D9" s="35">
        <f>SUM(D4:D8)</f>
        <v>40917</v>
      </c>
      <c r="E9" s="34">
        <v>49616</v>
      </c>
      <c r="F9" s="34">
        <v>58360</v>
      </c>
      <c r="G9" s="48"/>
      <c r="I9" s="49" t="s">
        <v>147</v>
      </c>
      <c r="J9" s="51">
        <f>B12</f>
        <v>12747</v>
      </c>
      <c r="K9" s="51">
        <f t="shared" ref="K9:N9" si="1">C12</f>
        <v>18884</v>
      </c>
      <c r="L9" s="51">
        <f t="shared" si="1"/>
        <v>23548</v>
      </c>
      <c r="M9" s="51">
        <f t="shared" si="1"/>
        <v>29725</v>
      </c>
      <c r="N9" s="51">
        <f t="shared" si="1"/>
        <v>35836</v>
      </c>
    </row>
    <row r="10" spans="1:14">
      <c r="A10" s="16" t="s">
        <v>52</v>
      </c>
      <c r="B10" s="53">
        <v>3091</v>
      </c>
      <c r="C10" s="53">
        <v>4511</v>
      </c>
      <c r="D10" s="53">
        <v>5035</v>
      </c>
      <c r="E10" s="53">
        <v>5989</v>
      </c>
      <c r="F10" s="53">
        <v>5581</v>
      </c>
      <c r="G10" s="48" t="s">
        <v>146</v>
      </c>
      <c r="I10" s="49" t="s">
        <v>58</v>
      </c>
      <c r="J10" s="51">
        <f>B16</f>
        <v>207</v>
      </c>
      <c r="K10" s="51">
        <f t="shared" ref="K10:N10" si="2">C16</f>
        <v>200</v>
      </c>
      <c r="L10" s="51">
        <f t="shared" si="2"/>
        <v>194</v>
      </c>
      <c r="M10" s="51">
        <f t="shared" si="2"/>
        <v>253</v>
      </c>
      <c r="N10" s="51">
        <f t="shared" si="2"/>
        <v>244</v>
      </c>
    </row>
    <row r="11" spans="1:14">
      <c r="A11" s="16" t="s">
        <v>53</v>
      </c>
      <c r="B11" s="53">
        <v>5979</v>
      </c>
      <c r="C11" s="53">
        <v>5765</v>
      </c>
      <c r="D11" s="53">
        <v>5489</v>
      </c>
      <c r="E11" s="53">
        <v>5229</v>
      </c>
      <c r="F11" s="53">
        <v>4924</v>
      </c>
      <c r="G11" s="48" t="s">
        <v>146</v>
      </c>
      <c r="I11" s="49" t="s">
        <v>146</v>
      </c>
      <c r="J11" s="51">
        <f>B10+B11+B13+B14+B15+B17+B18</f>
        <v>12477</v>
      </c>
      <c r="K11" s="51">
        <f t="shared" ref="K11:N11" si="3">C10+C11+C13+C14+C15+C17+C18</f>
        <v>15947</v>
      </c>
      <c r="L11" s="51">
        <f t="shared" si="3"/>
        <v>17679</v>
      </c>
      <c r="M11" s="51">
        <f t="shared" si="3"/>
        <v>27024</v>
      </c>
      <c r="N11" s="51">
        <f t="shared" si="3"/>
        <v>27630</v>
      </c>
    </row>
    <row r="12" spans="1:14">
      <c r="A12" s="16" t="s">
        <v>54</v>
      </c>
      <c r="B12" s="53">
        <v>12747</v>
      </c>
      <c r="C12" s="53">
        <v>18884</v>
      </c>
      <c r="D12" s="53">
        <v>23548</v>
      </c>
      <c r="E12" s="53">
        <v>29725</v>
      </c>
      <c r="F12" s="53">
        <v>35836</v>
      </c>
      <c r="G12" s="48" t="s">
        <v>147</v>
      </c>
      <c r="I12" s="50" t="s">
        <v>61</v>
      </c>
      <c r="J12" s="59">
        <f>SUM(J4:J11)</f>
        <v>52148</v>
      </c>
      <c r="K12" s="59">
        <f t="shared" ref="K12:N12" si="4">SUM(K4:K11)</f>
        <v>62131</v>
      </c>
      <c r="L12" s="59">
        <f t="shared" si="4"/>
        <v>82338</v>
      </c>
      <c r="M12" s="59">
        <f t="shared" si="4"/>
        <v>106618</v>
      </c>
      <c r="N12" s="59">
        <f t="shared" si="4"/>
        <v>122070</v>
      </c>
    </row>
    <row r="13" spans="1:14">
      <c r="A13" s="16" t="s">
        <v>55</v>
      </c>
      <c r="B13" s="53">
        <v>1558</v>
      </c>
      <c r="C13" s="53">
        <v>2016</v>
      </c>
      <c r="D13" s="53">
        <v>2563</v>
      </c>
      <c r="E13" s="53">
        <v>4180</v>
      </c>
      <c r="F13" s="53">
        <v>5160</v>
      </c>
      <c r="G13" s="48" t="s">
        <v>146</v>
      </c>
      <c r="I13" s="49" t="s">
        <v>149</v>
      </c>
      <c r="J13" s="51">
        <f>B22+B23</f>
        <v>10658</v>
      </c>
      <c r="K13" s="51">
        <f t="shared" ref="K13:N13" si="5">C22+C23</f>
        <v>16669</v>
      </c>
      <c r="L13" s="51">
        <f t="shared" si="5"/>
        <v>23460</v>
      </c>
      <c r="M13" s="51">
        <f t="shared" si="5"/>
        <v>23511</v>
      </c>
      <c r="N13" s="51">
        <f t="shared" si="5"/>
        <v>23197</v>
      </c>
    </row>
    <row r="14" spans="1:14">
      <c r="A14" s="16" t="s">
        <v>56</v>
      </c>
      <c r="B14" s="53">
        <v>0</v>
      </c>
      <c r="C14" s="53">
        <v>1260</v>
      </c>
      <c r="D14" s="53">
        <v>184</v>
      </c>
      <c r="E14" s="53">
        <v>184</v>
      </c>
      <c r="F14" s="53">
        <v>1076</v>
      </c>
      <c r="G14" s="48" t="s">
        <v>146</v>
      </c>
      <c r="I14" s="49" t="s">
        <v>65</v>
      </c>
      <c r="J14" s="51">
        <f>B24</f>
        <v>1458</v>
      </c>
      <c r="K14" s="51">
        <f t="shared" ref="K14:N14" si="6">C24</f>
        <v>1447</v>
      </c>
      <c r="L14" s="51">
        <f t="shared" si="6"/>
        <v>1747</v>
      </c>
      <c r="M14" s="51">
        <f t="shared" si="6"/>
        <v>2864</v>
      </c>
      <c r="N14" s="51">
        <f t="shared" si="6"/>
        <v>3168</v>
      </c>
    </row>
    <row r="15" spans="1:14">
      <c r="A15" s="16" t="s">
        <v>57</v>
      </c>
      <c r="B15" s="53">
        <v>313</v>
      </c>
      <c r="C15" s="53">
        <v>257</v>
      </c>
      <c r="D15" s="53">
        <v>215</v>
      </c>
      <c r="E15" s="53">
        <v>178</v>
      </c>
      <c r="F15" s="53">
        <v>150</v>
      </c>
      <c r="G15" s="48" t="s">
        <v>146</v>
      </c>
      <c r="I15" s="49" t="s">
        <v>150</v>
      </c>
      <c r="J15" s="51">
        <f>B25+B27+B33</f>
        <v>11739</v>
      </c>
      <c r="K15" s="51">
        <f t="shared" ref="K15:N15" si="7">C25+C27+C33</f>
        <v>6834</v>
      </c>
      <c r="L15" s="51">
        <f t="shared" si="7"/>
        <v>3099</v>
      </c>
      <c r="M15" s="51">
        <f t="shared" si="7"/>
        <v>5230</v>
      </c>
      <c r="N15" s="51">
        <f t="shared" si="7"/>
        <v>8213</v>
      </c>
    </row>
    <row r="16" spans="1:14">
      <c r="A16" s="16" t="s">
        <v>58</v>
      </c>
      <c r="B16" s="53">
        <v>207</v>
      </c>
      <c r="C16" s="53">
        <v>200</v>
      </c>
      <c r="D16" s="53">
        <v>194</v>
      </c>
      <c r="E16" s="53">
        <v>253</v>
      </c>
      <c r="F16" s="53">
        <v>244</v>
      </c>
      <c r="G16" s="48" t="s">
        <v>58</v>
      </c>
      <c r="I16" s="49" t="s">
        <v>151</v>
      </c>
      <c r="J16" s="51">
        <f>B28+B29</f>
        <v>4614</v>
      </c>
      <c r="K16" s="51">
        <f t="shared" ref="K16:N16" si="8">C28+C29</f>
        <v>5598</v>
      </c>
      <c r="L16" s="51">
        <f t="shared" si="8"/>
        <v>8134</v>
      </c>
      <c r="M16" s="51">
        <f t="shared" si="8"/>
        <v>11404</v>
      </c>
      <c r="N16" s="51">
        <f t="shared" si="8"/>
        <v>13812</v>
      </c>
    </row>
    <row r="17" spans="1:14">
      <c r="A17" s="16" t="s">
        <v>59</v>
      </c>
      <c r="B17" s="53">
        <v>0</v>
      </c>
      <c r="C17" s="53">
        <v>0</v>
      </c>
      <c r="D17" s="53">
        <v>0</v>
      </c>
      <c r="E17" s="53">
        <v>6733</v>
      </c>
      <c r="F17" s="53">
        <v>6524</v>
      </c>
      <c r="G17" s="48" t="s">
        <v>146</v>
      </c>
      <c r="I17" s="49" t="s">
        <v>153</v>
      </c>
      <c r="J17" s="51">
        <f>B37+B38</f>
        <v>27261</v>
      </c>
      <c r="K17" s="51">
        <f t="shared" ref="K17:N17" si="9">C37+C38</f>
        <v>29804</v>
      </c>
      <c r="L17" s="51">
        <f t="shared" si="9"/>
        <v>32180</v>
      </c>
      <c r="M17" s="51">
        <f t="shared" si="9"/>
        <v>34895</v>
      </c>
      <c r="N17" s="51">
        <f t="shared" si="9"/>
        <v>38374</v>
      </c>
    </row>
    <row r="18" spans="1:14">
      <c r="A18" s="16" t="s">
        <v>60</v>
      </c>
      <c r="B18" s="53">
        <v>1536</v>
      </c>
      <c r="C18" s="53">
        <v>2138</v>
      </c>
      <c r="D18" s="53">
        <v>4193</v>
      </c>
      <c r="E18" s="53">
        <v>4531</v>
      </c>
      <c r="F18" s="53">
        <v>4215</v>
      </c>
      <c r="G18" s="48" t="s">
        <v>146</v>
      </c>
      <c r="I18" s="49" t="s">
        <v>154</v>
      </c>
      <c r="J18" s="51">
        <f>B39</f>
        <v>363</v>
      </c>
      <c r="K18" s="51">
        <f t="shared" ref="K18:N18" si="10">C39</f>
        <v>54</v>
      </c>
      <c r="L18" s="51">
        <f t="shared" si="10"/>
        <v>-361</v>
      </c>
      <c r="M18" s="51">
        <f t="shared" si="10"/>
        <v>-143</v>
      </c>
      <c r="N18" s="51">
        <f t="shared" si="10"/>
        <v>-670</v>
      </c>
    </row>
    <row r="19" spans="1:14" ht="17" thickBot="1">
      <c r="A19" s="28" t="s">
        <v>61</v>
      </c>
      <c r="B19" s="36">
        <v>52148</v>
      </c>
      <c r="C19" s="36">
        <v>62131</v>
      </c>
      <c r="D19" s="37">
        <v>82338</v>
      </c>
      <c r="E19" s="36">
        <v>106618</v>
      </c>
      <c r="F19" s="36">
        <v>122070</v>
      </c>
      <c r="I19" s="49" t="s">
        <v>78</v>
      </c>
      <c r="J19" s="51">
        <f>B40</f>
        <v>-5399</v>
      </c>
      <c r="K19" s="51">
        <f t="shared" ref="K19:N19" si="11">C40</f>
        <v>331</v>
      </c>
      <c r="L19" s="51">
        <f t="shared" si="11"/>
        <v>12885</v>
      </c>
      <c r="M19" s="51">
        <f t="shared" si="11"/>
        <v>27882</v>
      </c>
      <c r="N19" s="51">
        <f t="shared" si="11"/>
        <v>35209</v>
      </c>
    </row>
    <row r="20" spans="1:14" ht="17" thickTop="1">
      <c r="A20" s="15"/>
      <c r="B20" s="38"/>
      <c r="C20" s="38"/>
      <c r="D20" s="39"/>
      <c r="E20" s="38"/>
      <c r="F20" s="38"/>
      <c r="I20" s="49" t="s">
        <v>152</v>
      </c>
      <c r="J20" s="51">
        <f>B32+B42</f>
        <v>1454</v>
      </c>
      <c r="K20" s="51">
        <f t="shared" ref="K20:N20" si="12">C32+C42</f>
        <v>1394</v>
      </c>
      <c r="L20" s="51">
        <f t="shared" si="12"/>
        <v>1194</v>
      </c>
      <c r="M20" s="51">
        <f t="shared" si="12"/>
        <v>975</v>
      </c>
      <c r="N20" s="51">
        <f t="shared" si="12"/>
        <v>767</v>
      </c>
    </row>
    <row r="21" spans="1:14">
      <c r="A21" s="15" t="s">
        <v>62</v>
      </c>
      <c r="B21" s="38"/>
      <c r="C21" s="38"/>
      <c r="D21" s="33"/>
      <c r="E21" s="33"/>
      <c r="F21" s="33"/>
      <c r="I21" s="50" t="s">
        <v>81</v>
      </c>
      <c r="J21" s="59">
        <f>SUM(J13:J20)</f>
        <v>52148</v>
      </c>
      <c r="K21" s="59">
        <f t="shared" ref="K21:N21" si="13">SUM(K13:K20)</f>
        <v>62131</v>
      </c>
      <c r="L21" s="59">
        <f t="shared" si="13"/>
        <v>82338</v>
      </c>
      <c r="M21" s="59">
        <f t="shared" si="13"/>
        <v>106618</v>
      </c>
      <c r="N21" s="59">
        <f t="shared" si="13"/>
        <v>122070</v>
      </c>
    </row>
    <row r="22" spans="1:14">
      <c r="A22" s="16" t="s">
        <v>63</v>
      </c>
      <c r="B22" s="53">
        <v>6051</v>
      </c>
      <c r="C22" s="53">
        <v>10025</v>
      </c>
      <c r="D22" s="53">
        <v>15255</v>
      </c>
      <c r="E22" s="53">
        <v>14431</v>
      </c>
      <c r="F22" s="53">
        <v>12474</v>
      </c>
      <c r="G22" s="48" t="s">
        <v>149</v>
      </c>
      <c r="I22" s="49" t="s">
        <v>155</v>
      </c>
      <c r="J22" s="51">
        <f>J12-J21</f>
        <v>0</v>
      </c>
      <c r="K22" s="51">
        <f t="shared" ref="K22:N22" si="14">K12-K21</f>
        <v>0</v>
      </c>
      <c r="L22" s="51">
        <f t="shared" si="14"/>
        <v>0</v>
      </c>
      <c r="M22" s="51">
        <f t="shared" si="14"/>
        <v>0</v>
      </c>
      <c r="N22" s="51">
        <f t="shared" si="14"/>
        <v>0</v>
      </c>
    </row>
    <row r="23" spans="1:14">
      <c r="A23" s="16" t="s">
        <v>64</v>
      </c>
      <c r="B23" s="53">
        <f>3855+752</f>
        <v>4607</v>
      </c>
      <c r="C23" s="53">
        <f>5719+925</f>
        <v>6644</v>
      </c>
      <c r="D23" s="53">
        <f>7142+1063</f>
        <v>8205</v>
      </c>
      <c r="E23" s="53">
        <v>9080</v>
      </c>
      <c r="F23" s="53">
        <v>10723</v>
      </c>
      <c r="G23" s="48" t="s">
        <v>149</v>
      </c>
    </row>
    <row r="24" spans="1:14">
      <c r="A24" s="16" t="s">
        <v>65</v>
      </c>
      <c r="B24" s="53">
        <v>1458</v>
      </c>
      <c r="C24" s="53">
        <v>1447</v>
      </c>
      <c r="D24" s="53">
        <v>1747</v>
      </c>
      <c r="E24" s="53">
        <v>2864</v>
      </c>
      <c r="F24" s="53">
        <v>3168</v>
      </c>
      <c r="G24" s="48" t="s">
        <v>65</v>
      </c>
    </row>
    <row r="25" spans="1:14">
      <c r="A25" s="16" t="s">
        <v>66</v>
      </c>
      <c r="B25" s="53">
        <v>2132</v>
      </c>
      <c r="C25" s="53">
        <v>1589</v>
      </c>
      <c r="D25" s="53">
        <v>1502</v>
      </c>
      <c r="E25" s="53">
        <v>2373</v>
      </c>
      <c r="F25" s="53">
        <v>2456</v>
      </c>
      <c r="G25" s="48" t="s">
        <v>150</v>
      </c>
    </row>
    <row r="26" spans="1:14">
      <c r="A26" s="27" t="s">
        <v>67</v>
      </c>
      <c r="B26" s="34">
        <v>14248</v>
      </c>
      <c r="C26" s="34">
        <v>19705</v>
      </c>
      <c r="D26" s="35">
        <f>SUM(D22:D25)</f>
        <v>26709</v>
      </c>
      <c r="E26" s="34">
        <v>28748</v>
      </c>
      <c r="F26" s="34">
        <v>28821</v>
      </c>
      <c r="G26" s="48"/>
    </row>
    <row r="27" spans="1:14">
      <c r="A27" s="16" t="s">
        <v>68</v>
      </c>
      <c r="B27" s="53">
        <v>9556</v>
      </c>
      <c r="C27" s="53">
        <v>5245</v>
      </c>
      <c r="D27" s="53">
        <v>1597</v>
      </c>
      <c r="E27" s="53">
        <v>2857</v>
      </c>
      <c r="F27" s="53">
        <v>5757</v>
      </c>
      <c r="G27" s="48" t="s">
        <v>150</v>
      </c>
    </row>
    <row r="28" spans="1:14">
      <c r="A28" s="16" t="s">
        <v>69</v>
      </c>
      <c r="B28" s="53">
        <v>1284</v>
      </c>
      <c r="C28" s="53">
        <v>2052</v>
      </c>
      <c r="D28" s="53">
        <v>2804</v>
      </c>
      <c r="E28" s="53">
        <v>3251</v>
      </c>
      <c r="F28" s="53">
        <v>3317</v>
      </c>
      <c r="G28" s="48" t="s">
        <v>151</v>
      </c>
    </row>
    <row r="29" spans="1:14">
      <c r="A29" s="16" t="s">
        <v>70</v>
      </c>
      <c r="B29" s="53">
        <v>3330</v>
      </c>
      <c r="C29" s="53">
        <v>3546</v>
      </c>
      <c r="D29" s="53">
        <v>5330</v>
      </c>
      <c r="E29" s="53">
        <v>8153</v>
      </c>
      <c r="F29" s="53">
        <v>10495</v>
      </c>
      <c r="G29" s="48" t="s">
        <v>151</v>
      </c>
    </row>
    <row r="30" spans="1:14">
      <c r="A30" s="27" t="s">
        <v>71</v>
      </c>
      <c r="B30" s="34">
        <v>28418</v>
      </c>
      <c r="C30" s="34">
        <v>30548</v>
      </c>
      <c r="D30" s="35">
        <v>36440</v>
      </c>
      <c r="E30" s="34">
        <v>43009</v>
      </c>
      <c r="F30" s="34">
        <v>48390</v>
      </c>
    </row>
    <row r="31" spans="1:14">
      <c r="A31" s="16"/>
      <c r="B31" s="32"/>
      <c r="C31" s="32"/>
      <c r="D31" s="33"/>
      <c r="E31" s="33"/>
      <c r="F31" s="33"/>
    </row>
    <row r="32" spans="1:14">
      <c r="A32" s="16" t="s">
        <v>74</v>
      </c>
      <c r="B32" s="53">
        <v>604</v>
      </c>
      <c r="C32" s="53">
        <v>568</v>
      </c>
      <c r="D32" s="53">
        <v>409</v>
      </c>
      <c r="E32" s="53">
        <v>242</v>
      </c>
      <c r="F32" s="53">
        <v>63</v>
      </c>
      <c r="G32" s="48" t="s">
        <v>152</v>
      </c>
    </row>
    <row r="33" spans="1:14">
      <c r="A33" s="16" t="s">
        <v>156</v>
      </c>
      <c r="B33" s="53">
        <v>51</v>
      </c>
      <c r="C33" s="53">
        <v>0</v>
      </c>
      <c r="D33" s="53">
        <v>0</v>
      </c>
      <c r="E33" s="53">
        <v>0</v>
      </c>
      <c r="F33" s="53">
        <v>0</v>
      </c>
      <c r="G33" s="48" t="s">
        <v>150</v>
      </c>
    </row>
    <row r="34" spans="1:14">
      <c r="A34" s="16"/>
      <c r="B34" s="53"/>
      <c r="C34" s="53"/>
      <c r="D34" s="53"/>
      <c r="E34" s="53"/>
      <c r="F34" s="53"/>
    </row>
    <row r="35" spans="1:14">
      <c r="A35" s="15" t="s">
        <v>75</v>
      </c>
      <c r="B35" s="54"/>
      <c r="C35" s="54"/>
      <c r="D35" s="53"/>
      <c r="E35" s="53"/>
      <c r="F35" s="53"/>
    </row>
    <row r="36" spans="1:14">
      <c r="A36" s="16" t="s">
        <v>82</v>
      </c>
      <c r="B36" s="53">
        <v>0</v>
      </c>
      <c r="C36" s="53">
        <v>0</v>
      </c>
      <c r="D36" s="53">
        <v>0</v>
      </c>
      <c r="E36" s="53">
        <v>0</v>
      </c>
      <c r="F36" s="53">
        <v>0</v>
      </c>
    </row>
    <row r="37" spans="1:14">
      <c r="A37" s="16" t="s">
        <v>83</v>
      </c>
      <c r="B37" s="53">
        <v>1</v>
      </c>
      <c r="C37" s="53">
        <v>1</v>
      </c>
      <c r="D37" s="53">
        <v>3</v>
      </c>
      <c r="E37" s="53">
        <v>3</v>
      </c>
      <c r="F37" s="53">
        <v>3</v>
      </c>
      <c r="G37" s="48" t="s">
        <v>153</v>
      </c>
    </row>
    <row r="38" spans="1:14">
      <c r="A38" s="16" t="s">
        <v>76</v>
      </c>
      <c r="B38" s="53">
        <v>27260</v>
      </c>
      <c r="C38" s="53">
        <v>29803</v>
      </c>
      <c r="D38" s="53">
        <v>32177</v>
      </c>
      <c r="E38" s="53">
        <v>34892</v>
      </c>
      <c r="F38" s="53">
        <v>38371</v>
      </c>
      <c r="G38" s="48" t="s">
        <v>153</v>
      </c>
    </row>
    <row r="39" spans="1:14">
      <c r="A39" s="16" t="s">
        <v>77</v>
      </c>
      <c r="B39" s="53">
        <v>363</v>
      </c>
      <c r="C39" s="53">
        <v>54</v>
      </c>
      <c r="D39" s="53">
        <v>-361</v>
      </c>
      <c r="E39" s="53">
        <v>-143</v>
      </c>
      <c r="F39" s="53">
        <v>-670</v>
      </c>
      <c r="G39" s="48" t="s">
        <v>154</v>
      </c>
    </row>
    <row r="40" spans="1:14">
      <c r="A40" s="16" t="s">
        <v>78</v>
      </c>
      <c r="B40" s="53">
        <v>-5399</v>
      </c>
      <c r="C40" s="53">
        <v>331</v>
      </c>
      <c r="D40" s="53">
        <v>12885</v>
      </c>
      <c r="E40" s="53">
        <v>27882</v>
      </c>
      <c r="F40" s="53">
        <v>35209</v>
      </c>
      <c r="G40" s="48" t="s">
        <v>78</v>
      </c>
    </row>
    <row r="41" spans="1:14">
      <c r="A41" s="27" t="s">
        <v>79</v>
      </c>
      <c r="B41" s="34">
        <v>22225</v>
      </c>
      <c r="C41" s="34">
        <v>30189</v>
      </c>
      <c r="D41" s="35">
        <v>44705</v>
      </c>
      <c r="E41" s="34">
        <v>62634</v>
      </c>
      <c r="F41" s="34">
        <v>72913</v>
      </c>
    </row>
    <row r="42" spans="1:14">
      <c r="A42" s="16" t="s">
        <v>80</v>
      </c>
      <c r="B42" s="53">
        <v>850</v>
      </c>
      <c r="C42" s="53">
        <v>826</v>
      </c>
      <c r="D42" s="53">
        <v>785</v>
      </c>
      <c r="E42" s="53">
        <v>733</v>
      </c>
      <c r="F42" s="53">
        <v>704</v>
      </c>
      <c r="G42" s="48" t="s">
        <v>152</v>
      </c>
    </row>
    <row r="43" spans="1:14" ht="17" thickBot="1">
      <c r="A43" s="28" t="s">
        <v>81</v>
      </c>
      <c r="B43" s="36">
        <v>52148</v>
      </c>
      <c r="C43" s="36">
        <v>62131</v>
      </c>
      <c r="D43" s="37">
        <v>82338</v>
      </c>
      <c r="E43" s="36">
        <v>106618</v>
      </c>
      <c r="F43" s="36">
        <v>122070</v>
      </c>
    </row>
    <row r="44" spans="1:14" ht="17" thickTop="1">
      <c r="A44" s="29" t="s">
        <v>84</v>
      </c>
      <c r="B44" s="33">
        <f t="shared" ref="B44:D44" si="15">B19-B43</f>
        <v>0</v>
      </c>
      <c r="C44" s="33">
        <f t="shared" si="15"/>
        <v>0</v>
      </c>
      <c r="D44" s="33">
        <f t="shared" si="15"/>
        <v>0</v>
      </c>
      <c r="E44" s="33">
        <f>E19-E43</f>
        <v>0</v>
      </c>
      <c r="F44" s="33">
        <f>F19-F43</f>
        <v>0</v>
      </c>
    </row>
    <row r="45" spans="1:14" ht="17" thickBot="1">
      <c r="B45" s="33"/>
      <c r="C45" s="33"/>
      <c r="D45" s="33"/>
      <c r="E45" s="33"/>
      <c r="F45" s="33"/>
    </row>
    <row r="46" spans="1:14" ht="17" thickBot="1">
      <c r="A46" s="40" t="s">
        <v>0</v>
      </c>
      <c r="B46" s="43"/>
      <c r="C46" s="43"/>
      <c r="D46" s="43"/>
      <c r="E46" s="43"/>
      <c r="F46" s="43"/>
      <c r="G46" s="47" t="s">
        <v>145</v>
      </c>
      <c r="J46" s="41">
        <v>2020</v>
      </c>
      <c r="K46" s="41">
        <v>2021</v>
      </c>
      <c r="L46" s="41">
        <v>2022</v>
      </c>
      <c r="M46" s="41">
        <v>2023</v>
      </c>
      <c r="N46" s="41">
        <v>2024</v>
      </c>
    </row>
    <row r="47" spans="1:14">
      <c r="A47" s="15" t="s">
        <v>85</v>
      </c>
      <c r="B47" s="38"/>
      <c r="C47" s="38"/>
      <c r="D47" s="33"/>
      <c r="E47" s="33"/>
      <c r="F47" s="33"/>
      <c r="I47" s="49" t="s">
        <v>85</v>
      </c>
      <c r="J47" s="60">
        <f>SUM(B48:B50)+SUM(B52:B53)</f>
        <v>31536</v>
      </c>
      <c r="K47" s="60">
        <f t="shared" ref="K47:N47" si="16">SUM(C48:C50)+SUM(C52:C53)</f>
        <v>53823</v>
      </c>
      <c r="L47" s="60">
        <f t="shared" si="16"/>
        <v>81462</v>
      </c>
      <c r="M47" s="60">
        <f t="shared" si="16"/>
        <v>96773</v>
      </c>
      <c r="N47" s="60">
        <f t="shared" si="16"/>
        <v>97690</v>
      </c>
    </row>
    <row r="48" spans="1:14">
      <c r="A48" s="16" t="s">
        <v>86</v>
      </c>
      <c r="B48" s="52">
        <v>24604</v>
      </c>
      <c r="C48" s="52">
        <v>44125</v>
      </c>
      <c r="D48" s="52">
        <v>67210</v>
      </c>
      <c r="E48" s="52">
        <v>78509</v>
      </c>
      <c r="F48" s="52">
        <v>72480</v>
      </c>
      <c r="G48" s="55"/>
      <c r="I48" s="49" t="s">
        <v>162</v>
      </c>
      <c r="J48" s="51">
        <f>SUM(B56:B57)+SUM(B59:B60)-J53</f>
        <v>22584</v>
      </c>
      <c r="K48" s="51">
        <f t="shared" ref="K48:N48" si="17">SUM(C56:C57)+SUM(C59:C60)-K53</f>
        <v>37306</v>
      </c>
      <c r="L48" s="51">
        <f t="shared" si="17"/>
        <v>56862</v>
      </c>
      <c r="M48" s="51">
        <f t="shared" si="17"/>
        <v>74446</v>
      </c>
      <c r="N48" s="51">
        <f t="shared" si="17"/>
        <v>74872</v>
      </c>
    </row>
    <row r="49" spans="1:14">
      <c r="A49" s="16" t="s">
        <v>87</v>
      </c>
      <c r="B49" s="53">
        <v>1580</v>
      </c>
      <c r="C49" s="53">
        <v>1465</v>
      </c>
      <c r="D49" s="53">
        <v>1776</v>
      </c>
      <c r="E49" s="53">
        <v>1790</v>
      </c>
      <c r="F49" s="53">
        <v>2763</v>
      </c>
      <c r="G49" s="55"/>
      <c r="I49" s="50" t="s">
        <v>96</v>
      </c>
      <c r="J49" s="7">
        <f>J47-J48</f>
        <v>8952</v>
      </c>
      <c r="K49" s="7">
        <f t="shared" ref="K49:N49" si="18">K47-K48</f>
        <v>16517</v>
      </c>
      <c r="L49" s="7">
        <f t="shared" si="18"/>
        <v>24600</v>
      </c>
      <c r="M49" s="7">
        <f t="shared" si="18"/>
        <v>22327</v>
      </c>
      <c r="N49" s="7">
        <f t="shared" si="18"/>
        <v>22818</v>
      </c>
    </row>
    <row r="50" spans="1:14">
      <c r="A50" s="16" t="s">
        <v>88</v>
      </c>
      <c r="B50" s="53">
        <v>1052</v>
      </c>
      <c r="C50" s="53">
        <v>1642</v>
      </c>
      <c r="D50" s="53">
        <v>2476</v>
      </c>
      <c r="E50" s="53">
        <v>2120</v>
      </c>
      <c r="F50" s="53">
        <v>1827</v>
      </c>
      <c r="G50" s="55"/>
      <c r="I50" s="49" t="s">
        <v>157</v>
      </c>
      <c r="J50" s="51">
        <f>B64</f>
        <v>1491</v>
      </c>
      <c r="K50" s="51">
        <f t="shared" ref="K50:N50" si="19">C64</f>
        <v>2593</v>
      </c>
      <c r="L50" s="51">
        <f t="shared" si="19"/>
        <v>3075</v>
      </c>
      <c r="M50" s="51">
        <f t="shared" si="19"/>
        <v>3969</v>
      </c>
      <c r="N50" s="51">
        <f t="shared" si="19"/>
        <v>4540</v>
      </c>
    </row>
    <row r="51" spans="1:14">
      <c r="A51" s="27" t="s">
        <v>89</v>
      </c>
      <c r="B51" s="34">
        <v>27236</v>
      </c>
      <c r="C51" s="34">
        <v>47232</v>
      </c>
      <c r="D51" s="34">
        <v>71462</v>
      </c>
      <c r="E51" s="34">
        <v>82419</v>
      </c>
      <c r="F51" s="34">
        <v>77070</v>
      </c>
      <c r="G51" s="48"/>
      <c r="I51" s="49" t="s">
        <v>158</v>
      </c>
      <c r="J51" s="51">
        <f>B65</f>
        <v>3145</v>
      </c>
      <c r="K51" s="51">
        <f t="shared" ref="K51:N51" si="20">C65</f>
        <v>4517</v>
      </c>
      <c r="L51" s="51">
        <f t="shared" si="20"/>
        <v>3946</v>
      </c>
      <c r="M51" s="51">
        <f t="shared" si="20"/>
        <v>4800</v>
      </c>
      <c r="N51" s="51">
        <f t="shared" si="20"/>
        <v>5150</v>
      </c>
    </row>
    <row r="52" spans="1:14">
      <c r="A52" s="16" t="s">
        <v>90</v>
      </c>
      <c r="B52" s="53">
        <v>1994</v>
      </c>
      <c r="C52" s="53">
        <v>2789</v>
      </c>
      <c r="D52" s="53">
        <v>3909</v>
      </c>
      <c r="E52" s="53">
        <v>6035</v>
      </c>
      <c r="F52" s="53">
        <v>10086</v>
      </c>
      <c r="G52" s="55"/>
      <c r="I52" s="50" t="s">
        <v>163</v>
      </c>
      <c r="J52" s="7">
        <f>J49-J50-J51</f>
        <v>4316</v>
      </c>
      <c r="K52" s="7">
        <f t="shared" ref="K52:N52" si="21">K49-K50-K51</f>
        <v>9407</v>
      </c>
      <c r="L52" s="7">
        <f t="shared" si="21"/>
        <v>17579</v>
      </c>
      <c r="M52" s="7">
        <f t="shared" si="21"/>
        <v>13558</v>
      </c>
      <c r="N52" s="7">
        <f t="shared" si="21"/>
        <v>13128</v>
      </c>
    </row>
    <row r="53" spans="1:14">
      <c r="A53" s="16" t="s">
        <v>91</v>
      </c>
      <c r="B53" s="53">
        <v>2306</v>
      </c>
      <c r="C53" s="53">
        <v>3802</v>
      </c>
      <c r="D53" s="53">
        <v>6091</v>
      </c>
      <c r="E53" s="53">
        <v>8319</v>
      </c>
      <c r="F53" s="53">
        <v>10534</v>
      </c>
      <c r="G53" s="55"/>
      <c r="I53" s="49" t="s">
        <v>164</v>
      </c>
      <c r="J53" s="51">
        <f>B89</f>
        <v>2322</v>
      </c>
      <c r="K53" s="51">
        <f t="shared" ref="K53:N53" si="22">C89</f>
        <v>2911</v>
      </c>
      <c r="L53" s="51">
        <f t="shared" si="22"/>
        <v>3747</v>
      </c>
      <c r="M53" s="51">
        <f t="shared" si="22"/>
        <v>4667</v>
      </c>
      <c r="N53" s="51">
        <f t="shared" si="22"/>
        <v>5368</v>
      </c>
    </row>
    <row r="54" spans="1:14">
      <c r="A54" s="27" t="s">
        <v>92</v>
      </c>
      <c r="B54" s="34">
        <v>31536</v>
      </c>
      <c r="C54" s="34">
        <v>53823</v>
      </c>
      <c r="D54" s="34">
        <v>81462</v>
      </c>
      <c r="E54" s="34">
        <v>96773</v>
      </c>
      <c r="F54" s="34">
        <v>97690</v>
      </c>
      <c r="G54" s="48" t="s">
        <v>85</v>
      </c>
      <c r="I54" s="49" t="s">
        <v>159</v>
      </c>
      <c r="J54" s="51">
        <f>B66</f>
        <v>0</v>
      </c>
      <c r="K54" s="51">
        <f t="shared" ref="K54:N54" si="23">C66</f>
        <v>-27</v>
      </c>
      <c r="L54" s="51">
        <f t="shared" si="23"/>
        <v>176</v>
      </c>
      <c r="M54" s="51">
        <f t="shared" si="23"/>
        <v>0</v>
      </c>
      <c r="N54" s="51">
        <f t="shared" si="23"/>
        <v>684</v>
      </c>
    </row>
    <row r="55" spans="1:14">
      <c r="A55" s="15" t="s">
        <v>93</v>
      </c>
      <c r="B55" s="33"/>
      <c r="C55" s="33"/>
      <c r="D55" s="33"/>
      <c r="E55" s="33"/>
      <c r="F55" s="33"/>
      <c r="G55" s="48"/>
      <c r="I55" s="50" t="s">
        <v>8</v>
      </c>
      <c r="J55" s="7">
        <f>J52-J53-J54</f>
        <v>1994</v>
      </c>
      <c r="K55" s="7">
        <f t="shared" ref="K55:N55" si="24">K52-K53-K54</f>
        <v>6523</v>
      </c>
      <c r="L55" s="7">
        <f t="shared" si="24"/>
        <v>13656</v>
      </c>
      <c r="M55" s="7">
        <f t="shared" si="24"/>
        <v>8891</v>
      </c>
      <c r="N55" s="7">
        <f t="shared" si="24"/>
        <v>7076</v>
      </c>
    </row>
    <row r="56" spans="1:14">
      <c r="A56" s="16" t="s">
        <v>86</v>
      </c>
      <c r="B56" s="53">
        <v>19696</v>
      </c>
      <c r="C56" s="53">
        <v>32415</v>
      </c>
      <c r="D56" s="53">
        <v>49599</v>
      </c>
      <c r="E56" s="53">
        <v>65121</v>
      </c>
      <c r="F56" s="53">
        <v>61870</v>
      </c>
      <c r="G56" s="55"/>
      <c r="I56" s="49" t="s">
        <v>103</v>
      </c>
      <c r="J56" s="51">
        <f>B69</f>
        <v>30</v>
      </c>
      <c r="K56" s="51">
        <f t="shared" ref="K56:N56" si="25">C69</f>
        <v>56</v>
      </c>
      <c r="L56" s="51">
        <f t="shared" si="25"/>
        <v>297</v>
      </c>
      <c r="M56" s="51">
        <f t="shared" si="25"/>
        <v>1066</v>
      </c>
      <c r="N56" s="51">
        <f t="shared" si="25"/>
        <v>1569</v>
      </c>
    </row>
    <row r="57" spans="1:14">
      <c r="A57" s="16" t="s">
        <v>88</v>
      </c>
      <c r="B57" s="53">
        <v>563</v>
      </c>
      <c r="C57" s="53">
        <v>978</v>
      </c>
      <c r="D57" s="53">
        <v>1509</v>
      </c>
      <c r="E57" s="53">
        <v>1268</v>
      </c>
      <c r="F57" s="53">
        <v>1003</v>
      </c>
      <c r="I57" s="49" t="s">
        <v>104</v>
      </c>
      <c r="J57" s="51">
        <f>B70</f>
        <v>-748</v>
      </c>
      <c r="K57" s="51">
        <f>C70</f>
        <v>-371</v>
      </c>
      <c r="L57" s="51">
        <f t="shared" ref="L57:N57" si="26">D70</f>
        <v>-191</v>
      </c>
      <c r="M57" s="51">
        <f t="shared" si="26"/>
        <v>-156</v>
      </c>
      <c r="N57" s="51">
        <f t="shared" si="26"/>
        <v>-350</v>
      </c>
    </row>
    <row r="58" spans="1:14">
      <c r="A58" s="26" t="s">
        <v>94</v>
      </c>
      <c r="B58" s="34">
        <v>20259</v>
      </c>
      <c r="C58" s="34">
        <v>33393</v>
      </c>
      <c r="D58" s="34">
        <v>51108</v>
      </c>
      <c r="E58" s="34">
        <v>66389</v>
      </c>
      <c r="F58" s="34">
        <v>62873</v>
      </c>
      <c r="G58" s="55"/>
      <c r="I58" s="49" t="s">
        <v>160</v>
      </c>
      <c r="J58" s="51">
        <f>B71</f>
        <v>-122</v>
      </c>
      <c r="K58" s="51">
        <f t="shared" ref="K58:N58" si="27">C71</f>
        <v>135</v>
      </c>
      <c r="L58" s="51">
        <f t="shared" si="27"/>
        <v>-43</v>
      </c>
      <c r="M58" s="51">
        <f t="shared" si="27"/>
        <v>172</v>
      </c>
      <c r="N58" s="51">
        <f t="shared" si="27"/>
        <v>695</v>
      </c>
    </row>
    <row r="59" spans="1:14">
      <c r="A59" s="16" t="s">
        <v>90</v>
      </c>
      <c r="B59" s="53">
        <v>1976</v>
      </c>
      <c r="C59" s="53">
        <v>2918</v>
      </c>
      <c r="D59" s="53">
        <v>3621</v>
      </c>
      <c r="E59" s="53">
        <v>4894</v>
      </c>
      <c r="F59" s="53">
        <v>7446</v>
      </c>
      <c r="G59" s="55"/>
      <c r="I59" s="50" t="s">
        <v>9</v>
      </c>
      <c r="J59" s="7">
        <f>SUM(J55:J58)</f>
        <v>1154</v>
      </c>
      <c r="K59" s="7">
        <f t="shared" ref="K59:N59" si="28">SUM(K55:K58)</f>
        <v>6343</v>
      </c>
      <c r="L59" s="7">
        <f t="shared" si="28"/>
        <v>13719</v>
      </c>
      <c r="M59" s="7">
        <f t="shared" si="28"/>
        <v>9973</v>
      </c>
      <c r="N59" s="7">
        <f t="shared" si="28"/>
        <v>8990</v>
      </c>
    </row>
    <row r="60" spans="1:14">
      <c r="A60" s="16" t="s">
        <v>91</v>
      </c>
      <c r="B60" s="53">
        <v>2671</v>
      </c>
      <c r="C60" s="53">
        <v>3906</v>
      </c>
      <c r="D60" s="53">
        <v>5880</v>
      </c>
      <c r="E60" s="53">
        <v>7830</v>
      </c>
      <c r="F60" s="53">
        <v>9921</v>
      </c>
      <c r="G60" s="55"/>
      <c r="I60" s="49" t="s">
        <v>161</v>
      </c>
      <c r="J60" s="51">
        <f>B73</f>
        <v>292</v>
      </c>
      <c r="K60" s="51">
        <f t="shared" ref="K60:N60" si="29">C73</f>
        <v>699</v>
      </c>
      <c r="L60" s="51">
        <f t="shared" si="29"/>
        <v>1132</v>
      </c>
      <c r="M60" s="51">
        <f t="shared" si="29"/>
        <v>-5001</v>
      </c>
      <c r="N60" s="51">
        <f t="shared" si="29"/>
        <v>1837</v>
      </c>
    </row>
    <row r="61" spans="1:14">
      <c r="A61" s="27" t="s">
        <v>95</v>
      </c>
      <c r="B61" s="34">
        <v>24906</v>
      </c>
      <c r="C61" s="34">
        <v>40217</v>
      </c>
      <c r="D61" s="34">
        <v>60609</v>
      </c>
      <c r="E61" s="34">
        <v>79113</v>
      </c>
      <c r="F61" s="34">
        <v>80240</v>
      </c>
      <c r="G61" s="48" t="s">
        <v>162</v>
      </c>
      <c r="I61" s="50" t="s">
        <v>10</v>
      </c>
      <c r="J61" s="7">
        <f>J59-J60</f>
        <v>862</v>
      </c>
      <c r="K61" s="7">
        <f t="shared" ref="K61:N61" si="30">K59-K60</f>
        <v>5644</v>
      </c>
      <c r="L61" s="7">
        <f t="shared" si="30"/>
        <v>12587</v>
      </c>
      <c r="M61" s="7">
        <f t="shared" si="30"/>
        <v>14974</v>
      </c>
      <c r="N61" s="7">
        <f t="shared" si="30"/>
        <v>7153</v>
      </c>
    </row>
    <row r="62" spans="1:14">
      <c r="A62" s="27" t="s">
        <v>96</v>
      </c>
      <c r="B62" s="34">
        <v>6630</v>
      </c>
      <c r="C62" s="34">
        <v>13606</v>
      </c>
      <c r="D62" s="34">
        <v>20853</v>
      </c>
      <c r="E62" s="34">
        <v>17660</v>
      </c>
      <c r="F62" s="34">
        <v>17450</v>
      </c>
      <c r="G62" s="48"/>
    </row>
    <row r="63" spans="1:14">
      <c r="A63" s="15" t="s">
        <v>97</v>
      </c>
      <c r="B63" s="33"/>
      <c r="C63" s="33"/>
      <c r="D63" s="33"/>
      <c r="E63" s="33"/>
      <c r="F63" s="33"/>
      <c r="G63" s="48"/>
    </row>
    <row r="64" spans="1:14">
      <c r="A64" s="16" t="s">
        <v>98</v>
      </c>
      <c r="B64" s="53">
        <v>1491</v>
      </c>
      <c r="C64" s="53">
        <v>2593</v>
      </c>
      <c r="D64" s="53">
        <v>3075</v>
      </c>
      <c r="E64" s="53">
        <v>3969</v>
      </c>
      <c r="F64" s="53">
        <v>4540</v>
      </c>
      <c r="G64" s="48" t="s">
        <v>157</v>
      </c>
    </row>
    <row r="65" spans="1:7">
      <c r="A65" s="16" t="s">
        <v>99</v>
      </c>
      <c r="B65" s="53">
        <v>3145</v>
      </c>
      <c r="C65" s="53">
        <v>4517</v>
      </c>
      <c r="D65" s="53">
        <v>3946</v>
      </c>
      <c r="E65" s="53">
        <v>4800</v>
      </c>
      <c r="F65" s="53">
        <v>5150</v>
      </c>
      <c r="G65" s="48" t="s">
        <v>158</v>
      </c>
    </row>
    <row r="66" spans="1:7">
      <c r="A66" s="16" t="s">
        <v>100</v>
      </c>
      <c r="B66" s="53">
        <v>0</v>
      </c>
      <c r="C66" s="53">
        <v>-27</v>
      </c>
      <c r="D66" s="53">
        <v>176</v>
      </c>
      <c r="E66" s="53">
        <v>0</v>
      </c>
      <c r="F66" s="53">
        <v>684</v>
      </c>
      <c r="G66" s="48" t="s">
        <v>159</v>
      </c>
    </row>
    <row r="67" spans="1:7">
      <c r="A67" s="16" t="s">
        <v>101</v>
      </c>
      <c r="B67" s="53">
        <v>4636</v>
      </c>
      <c r="C67" s="53">
        <v>7083</v>
      </c>
      <c r="D67" s="53">
        <v>7197</v>
      </c>
      <c r="E67" s="53">
        <v>8769</v>
      </c>
      <c r="F67" s="53">
        <v>10374</v>
      </c>
      <c r="G67" s="48"/>
    </row>
    <row r="68" spans="1:7">
      <c r="A68" s="27" t="s">
        <v>102</v>
      </c>
      <c r="B68" s="34">
        <v>1994</v>
      </c>
      <c r="C68" s="34">
        <v>6523</v>
      </c>
      <c r="D68" s="34">
        <v>13656</v>
      </c>
      <c r="E68" s="34">
        <v>8891</v>
      </c>
      <c r="F68" s="34">
        <v>7076</v>
      </c>
      <c r="G68" s="48"/>
    </row>
    <row r="69" spans="1:7">
      <c r="A69" s="16" t="s">
        <v>103</v>
      </c>
      <c r="B69" s="53">
        <v>30</v>
      </c>
      <c r="C69" s="53">
        <v>56</v>
      </c>
      <c r="D69" s="53">
        <v>297</v>
      </c>
      <c r="E69" s="53">
        <v>1066</v>
      </c>
      <c r="F69" s="53">
        <v>1569</v>
      </c>
      <c r="G69" s="48" t="s">
        <v>103</v>
      </c>
    </row>
    <row r="70" spans="1:7">
      <c r="A70" s="16" t="s">
        <v>104</v>
      </c>
      <c r="B70" s="53">
        <v>-748</v>
      </c>
      <c r="C70" s="53">
        <v>-371</v>
      </c>
      <c r="D70" s="53">
        <v>-191</v>
      </c>
      <c r="E70" s="53">
        <v>-156</v>
      </c>
      <c r="F70" s="53">
        <v>-350</v>
      </c>
      <c r="G70" s="48" t="s">
        <v>104</v>
      </c>
    </row>
    <row r="71" spans="1:7">
      <c r="A71" s="16" t="s">
        <v>105</v>
      </c>
      <c r="B71" s="53">
        <v>-122</v>
      </c>
      <c r="C71" s="53">
        <v>135</v>
      </c>
      <c r="D71" s="53">
        <v>-43</v>
      </c>
      <c r="E71" s="53">
        <v>172</v>
      </c>
      <c r="F71" s="53">
        <v>695</v>
      </c>
      <c r="G71" s="48" t="s">
        <v>160</v>
      </c>
    </row>
    <row r="72" spans="1:7">
      <c r="A72" s="27" t="s">
        <v>106</v>
      </c>
      <c r="B72" s="34">
        <v>1154</v>
      </c>
      <c r="C72" s="34">
        <v>6343</v>
      </c>
      <c r="D72" s="34">
        <v>13719</v>
      </c>
      <c r="E72" s="34">
        <v>9973</v>
      </c>
      <c r="F72" s="34">
        <v>8990</v>
      </c>
      <c r="G72" s="48"/>
    </row>
    <row r="73" spans="1:7">
      <c r="A73" s="16" t="s">
        <v>107</v>
      </c>
      <c r="B73" s="53">
        <v>292</v>
      </c>
      <c r="C73" s="53">
        <v>699</v>
      </c>
      <c r="D73" s="53">
        <v>1132</v>
      </c>
      <c r="E73" s="53">
        <v>-5001</v>
      </c>
      <c r="F73" s="53">
        <v>1837</v>
      </c>
      <c r="G73" s="48" t="s">
        <v>161</v>
      </c>
    </row>
    <row r="74" spans="1:7">
      <c r="A74" s="27" t="s">
        <v>108</v>
      </c>
      <c r="B74" s="34">
        <v>862</v>
      </c>
      <c r="C74" s="34">
        <v>5644</v>
      </c>
      <c r="D74" s="34">
        <v>12587</v>
      </c>
      <c r="E74" s="34">
        <v>14974</v>
      </c>
      <c r="F74" s="34">
        <v>7153</v>
      </c>
    </row>
    <row r="75" spans="1:7">
      <c r="A75" s="16" t="s">
        <v>118</v>
      </c>
      <c r="B75" s="53">
        <v>141</v>
      </c>
      <c r="C75" s="53">
        <v>125</v>
      </c>
      <c r="D75" s="53">
        <v>31</v>
      </c>
      <c r="E75" s="53">
        <v>-23</v>
      </c>
      <c r="F75" s="53">
        <v>62</v>
      </c>
    </row>
    <row r="76" spans="1:7" ht="17" thickBot="1">
      <c r="A76" s="28" t="s">
        <v>109</v>
      </c>
      <c r="B76" s="36">
        <v>721</v>
      </c>
      <c r="C76" s="36">
        <v>5519</v>
      </c>
      <c r="D76" s="36">
        <v>12556</v>
      </c>
      <c r="E76" s="36">
        <v>14997</v>
      </c>
      <c r="F76" s="36">
        <v>7091</v>
      </c>
    </row>
    <row r="77" spans="1:7" ht="17" thickTop="1">
      <c r="A77" s="16"/>
      <c r="B77" s="32"/>
      <c r="C77" s="32"/>
      <c r="D77" s="33"/>
      <c r="E77" s="33"/>
      <c r="F77" s="33"/>
    </row>
    <row r="78" spans="1:7">
      <c r="A78" s="15" t="s">
        <v>110</v>
      </c>
      <c r="B78" s="32"/>
      <c r="C78" s="32"/>
      <c r="D78" s="33"/>
      <c r="E78" s="33"/>
      <c r="F78" s="33"/>
    </row>
    <row r="79" spans="1:7">
      <c r="A79" s="16" t="s">
        <v>111</v>
      </c>
      <c r="B79" s="32">
        <v>0.74</v>
      </c>
      <c r="C79" s="32">
        <v>5.6</v>
      </c>
      <c r="D79" s="32">
        <v>4.0199999999999996</v>
      </c>
      <c r="E79" s="32" t="s">
        <v>113</v>
      </c>
      <c r="F79" s="32" t="s">
        <v>112</v>
      </c>
    </row>
    <row r="80" spans="1:7">
      <c r="A80" s="16" t="s">
        <v>114</v>
      </c>
      <c r="B80" s="32">
        <v>0.64</v>
      </c>
      <c r="C80" s="32">
        <v>4.9000000000000004</v>
      </c>
      <c r="D80" s="32">
        <v>3.62</v>
      </c>
      <c r="E80" s="32" t="s">
        <v>116</v>
      </c>
      <c r="F80" s="32" t="s">
        <v>115</v>
      </c>
    </row>
    <row r="81" spans="1:14">
      <c r="A81" s="15" t="s">
        <v>117</v>
      </c>
      <c r="B81" s="32"/>
      <c r="C81" s="32"/>
      <c r="D81" s="33"/>
      <c r="E81" s="33"/>
      <c r="F81" s="33"/>
    </row>
    <row r="82" spans="1:14">
      <c r="A82" s="16" t="s">
        <v>111</v>
      </c>
      <c r="B82" s="32">
        <v>933</v>
      </c>
      <c r="C82" s="32">
        <v>986</v>
      </c>
      <c r="D82" s="32">
        <v>3130</v>
      </c>
      <c r="E82" s="32">
        <v>3174</v>
      </c>
      <c r="F82" s="32">
        <v>3197</v>
      </c>
    </row>
    <row r="83" spans="1:14">
      <c r="A83" s="16" t="s">
        <v>114</v>
      </c>
      <c r="B83" s="32">
        <v>1083</v>
      </c>
      <c r="C83" s="32">
        <v>1129</v>
      </c>
      <c r="D83" s="32">
        <v>3475</v>
      </c>
      <c r="E83" s="32">
        <v>3485</v>
      </c>
      <c r="F83" s="32">
        <v>3498</v>
      </c>
    </row>
    <row r="84" spans="1:14" ht="17" thickBot="1">
      <c r="B84" s="33"/>
      <c r="C84" s="33"/>
      <c r="D84" s="33"/>
      <c r="E84" s="33"/>
      <c r="F84" s="33"/>
    </row>
    <row r="85" spans="1:14" ht="17" thickBot="1">
      <c r="A85" s="44" t="s">
        <v>28</v>
      </c>
      <c r="B85" s="45"/>
      <c r="C85" s="45"/>
      <c r="D85" s="45"/>
      <c r="E85" s="45"/>
      <c r="F85" s="45"/>
      <c r="G85" s="47" t="s">
        <v>145</v>
      </c>
      <c r="J85" s="41">
        <v>2020</v>
      </c>
      <c r="K85" s="41">
        <v>2021</v>
      </c>
      <c r="L85" s="41">
        <v>2022</v>
      </c>
      <c r="M85" s="41">
        <v>2023</v>
      </c>
      <c r="N85" s="41">
        <v>2024</v>
      </c>
    </row>
    <row r="86" spans="1:14">
      <c r="A86" s="15" t="s">
        <v>119</v>
      </c>
      <c r="B86" s="33"/>
      <c r="C86" s="33"/>
      <c r="D86" s="33"/>
      <c r="E86" s="33"/>
      <c r="F86" s="33"/>
      <c r="I86" s="16" t="s">
        <v>108</v>
      </c>
      <c r="J86" s="51">
        <f>B87</f>
        <v>862</v>
      </c>
      <c r="K86" s="51">
        <f t="shared" ref="K86:N86" si="31">C87</f>
        <v>5644</v>
      </c>
      <c r="L86" s="51">
        <f t="shared" si="31"/>
        <v>12587</v>
      </c>
      <c r="M86" s="51">
        <f t="shared" si="31"/>
        <v>14974</v>
      </c>
      <c r="N86" s="51">
        <f t="shared" si="31"/>
        <v>7153</v>
      </c>
    </row>
    <row r="87" spans="1:14">
      <c r="A87" s="16" t="s">
        <v>108</v>
      </c>
      <c r="B87" s="52">
        <v>862</v>
      </c>
      <c r="C87" s="52">
        <v>5644</v>
      </c>
      <c r="D87" s="52">
        <v>12587</v>
      </c>
      <c r="E87" s="52">
        <v>14974</v>
      </c>
      <c r="F87" s="52">
        <v>7153</v>
      </c>
      <c r="G87" s="48" t="s">
        <v>108</v>
      </c>
      <c r="I87" s="13" t="s">
        <v>164</v>
      </c>
      <c r="J87" s="51">
        <f>B89</f>
        <v>2322</v>
      </c>
      <c r="K87" s="51">
        <f t="shared" ref="K87:N87" si="32">C89</f>
        <v>2911</v>
      </c>
      <c r="L87" s="51">
        <f t="shared" si="32"/>
        <v>3747</v>
      </c>
      <c r="M87" s="51">
        <f t="shared" si="32"/>
        <v>4667</v>
      </c>
      <c r="N87" s="51">
        <f t="shared" si="32"/>
        <v>5368</v>
      </c>
    </row>
    <row r="88" spans="1:14">
      <c r="A88" s="16" t="s">
        <v>120</v>
      </c>
      <c r="B88" s="53"/>
      <c r="C88" s="53"/>
      <c r="D88" s="53"/>
      <c r="E88" s="53"/>
      <c r="F88" s="53"/>
      <c r="G88" s="48"/>
      <c r="I88" s="13" t="s">
        <v>165</v>
      </c>
      <c r="J88" s="51">
        <f>SUM(B90:B95)</f>
        <v>2575</v>
      </c>
      <c r="K88" s="51">
        <f t="shared" ref="K88:N88" si="33">SUM(C90:C95)</f>
        <v>2424</v>
      </c>
      <c r="L88" s="51">
        <f t="shared" si="33"/>
        <v>2102</v>
      </c>
      <c r="M88" s="51">
        <f t="shared" si="33"/>
        <v>-4137</v>
      </c>
      <c r="N88" s="51">
        <f t="shared" si="33"/>
        <v>2321</v>
      </c>
    </row>
    <row r="89" spans="1:14">
      <c r="A89" s="16" t="s">
        <v>121</v>
      </c>
      <c r="B89" s="53">
        <v>2322</v>
      </c>
      <c r="C89" s="53">
        <v>2911</v>
      </c>
      <c r="D89" s="53">
        <v>3747</v>
      </c>
      <c r="E89" s="53">
        <v>4667</v>
      </c>
      <c r="F89" s="53">
        <v>5368</v>
      </c>
      <c r="G89" s="48" t="s">
        <v>164</v>
      </c>
      <c r="I89" s="13" t="s">
        <v>167</v>
      </c>
      <c r="J89" s="51">
        <f>B97</f>
        <v>-652</v>
      </c>
      <c r="K89" s="51">
        <f t="shared" ref="K89:N89" si="34">C97</f>
        <v>-130</v>
      </c>
      <c r="L89" s="51">
        <f t="shared" si="34"/>
        <v>-1124</v>
      </c>
      <c r="M89" s="51">
        <f t="shared" si="34"/>
        <v>-586</v>
      </c>
      <c r="N89" s="51">
        <f t="shared" si="34"/>
        <v>-1083</v>
      </c>
    </row>
    <row r="90" spans="1:14">
      <c r="A90" s="16" t="s">
        <v>122</v>
      </c>
      <c r="B90" s="53">
        <v>1734</v>
      </c>
      <c r="C90" s="53">
        <v>2121</v>
      </c>
      <c r="D90" s="53">
        <v>1560</v>
      </c>
      <c r="E90" s="53">
        <v>1812</v>
      </c>
      <c r="F90" s="53">
        <v>1999</v>
      </c>
      <c r="G90" s="48" t="s">
        <v>165</v>
      </c>
      <c r="I90" s="13" t="s">
        <v>166</v>
      </c>
      <c r="J90" s="51">
        <f>B98</f>
        <v>-422</v>
      </c>
      <c r="K90" s="51">
        <f t="shared" ref="K90:N90" si="35">C98</f>
        <v>-1709</v>
      </c>
      <c r="L90" s="51">
        <f t="shared" si="35"/>
        <v>-6465</v>
      </c>
      <c r="M90" s="51">
        <f t="shared" si="35"/>
        <v>-1195</v>
      </c>
      <c r="N90" s="51">
        <f t="shared" si="35"/>
        <v>937</v>
      </c>
    </row>
    <row r="91" spans="1:14">
      <c r="A91" s="16" t="s">
        <v>123</v>
      </c>
      <c r="B91" s="53">
        <v>202</v>
      </c>
      <c r="C91" s="53">
        <v>140</v>
      </c>
      <c r="D91" s="53">
        <v>177</v>
      </c>
      <c r="E91" s="53">
        <v>463</v>
      </c>
      <c r="F91" s="53">
        <v>335</v>
      </c>
      <c r="G91" s="48" t="s">
        <v>165</v>
      </c>
      <c r="I91" s="13" t="s">
        <v>169</v>
      </c>
      <c r="J91" s="51">
        <f>B100</f>
        <v>-595</v>
      </c>
      <c r="K91" s="51">
        <f t="shared" ref="K91:N91" si="36">C100</f>
        <v>-1562</v>
      </c>
      <c r="L91" s="51">
        <f t="shared" si="36"/>
        <v>-3713</v>
      </c>
      <c r="M91" s="51">
        <f t="shared" si="36"/>
        <v>-2652</v>
      </c>
      <c r="N91" s="51">
        <f t="shared" si="36"/>
        <v>-3273</v>
      </c>
    </row>
    <row r="92" spans="1:14">
      <c r="A92" s="16" t="s">
        <v>124</v>
      </c>
      <c r="B92" s="53">
        <v>114</v>
      </c>
      <c r="C92" s="53">
        <v>-55</v>
      </c>
      <c r="D92" s="53">
        <v>81</v>
      </c>
      <c r="E92" s="53">
        <v>-144</v>
      </c>
      <c r="F92" s="53">
        <v>-73</v>
      </c>
      <c r="G92" s="48" t="s">
        <v>165</v>
      </c>
      <c r="I92" s="13" t="s">
        <v>170</v>
      </c>
      <c r="J92" s="51">
        <f>B101</f>
        <v>2604</v>
      </c>
      <c r="K92" s="51">
        <f t="shared" ref="K92:N92" si="37">C101</f>
        <v>5240</v>
      </c>
      <c r="L92" s="51">
        <f t="shared" si="37"/>
        <v>8029</v>
      </c>
      <c r="M92" s="51">
        <f t="shared" si="37"/>
        <v>2605</v>
      </c>
      <c r="N92" s="51">
        <f t="shared" si="37"/>
        <v>3588</v>
      </c>
    </row>
    <row r="93" spans="1:14">
      <c r="A93" s="16" t="s">
        <v>125</v>
      </c>
      <c r="B93" s="53"/>
      <c r="C93" s="53"/>
      <c r="D93" s="53">
        <v>-196</v>
      </c>
      <c r="E93" s="53">
        <v>-6349</v>
      </c>
      <c r="F93" s="53">
        <v>477</v>
      </c>
      <c r="G93" s="57" t="s">
        <v>165</v>
      </c>
      <c r="I93" s="13" t="s">
        <v>168</v>
      </c>
      <c r="J93" s="51">
        <f>B99+B102</f>
        <v>-751</v>
      </c>
      <c r="K93" s="51">
        <f t="shared" ref="K93:N93" si="38">C99+C102</f>
        <v>-1321</v>
      </c>
      <c r="L93" s="51">
        <f t="shared" si="38"/>
        <v>-439</v>
      </c>
      <c r="M93" s="51">
        <f t="shared" si="38"/>
        <v>-420</v>
      </c>
      <c r="N93" s="51">
        <f t="shared" si="38"/>
        <v>-88</v>
      </c>
    </row>
    <row r="94" spans="1:14">
      <c r="A94" s="16" t="s">
        <v>126</v>
      </c>
      <c r="B94" s="53">
        <v>525</v>
      </c>
      <c r="C94" s="53">
        <v>245</v>
      </c>
      <c r="D94" s="53">
        <v>340</v>
      </c>
      <c r="E94" s="53">
        <v>81</v>
      </c>
      <c r="F94" s="53">
        <v>172</v>
      </c>
      <c r="G94" s="48" t="s">
        <v>165</v>
      </c>
      <c r="I94" s="1" t="s">
        <v>179</v>
      </c>
      <c r="J94" s="7">
        <f>SUM(J86:J93)</f>
        <v>5943</v>
      </c>
      <c r="K94" s="7">
        <f t="shared" ref="K94:N94" si="39">SUM(K86:K93)</f>
        <v>11497</v>
      </c>
      <c r="L94" s="7">
        <f t="shared" si="39"/>
        <v>14724</v>
      </c>
      <c r="M94" s="7">
        <f t="shared" si="39"/>
        <v>13256</v>
      </c>
      <c r="N94" s="7">
        <f t="shared" si="39"/>
        <v>14923</v>
      </c>
    </row>
    <row r="95" spans="1:14">
      <c r="A95" s="16" t="s">
        <v>127</v>
      </c>
      <c r="B95" s="53">
        <v>0</v>
      </c>
      <c r="C95" s="53">
        <v>-27</v>
      </c>
      <c r="D95" s="53">
        <v>140</v>
      </c>
      <c r="E95" s="53">
        <v>0</v>
      </c>
      <c r="F95" s="53">
        <v>-589</v>
      </c>
      <c r="G95" s="48" t="s">
        <v>165</v>
      </c>
    </row>
    <row r="96" spans="1:14">
      <c r="A96" s="16" t="s">
        <v>128</v>
      </c>
      <c r="B96" s="53"/>
      <c r="C96" s="53"/>
      <c r="D96" s="53"/>
      <c r="E96" s="53"/>
      <c r="F96" s="53"/>
      <c r="G96" s="48"/>
      <c r="I96" s="13" t="s">
        <v>171</v>
      </c>
      <c r="J96" s="51">
        <f>B106</f>
        <v>-3157</v>
      </c>
      <c r="K96" s="51">
        <f t="shared" ref="K96:N96" si="40">C106</f>
        <v>-6482</v>
      </c>
      <c r="L96" s="51">
        <f t="shared" si="40"/>
        <v>-7158</v>
      </c>
      <c r="M96" s="51">
        <f t="shared" si="40"/>
        <v>-8898</v>
      </c>
      <c r="N96" s="51">
        <f t="shared" si="40"/>
        <v>-11339</v>
      </c>
    </row>
    <row r="97" spans="1:14">
      <c r="A97" s="16" t="s">
        <v>129</v>
      </c>
      <c r="B97" s="53">
        <v>-652</v>
      </c>
      <c r="C97" s="53">
        <v>-130</v>
      </c>
      <c r="D97" s="53">
        <v>-1124</v>
      </c>
      <c r="E97" s="53">
        <v>-586</v>
      </c>
      <c r="F97" s="53">
        <v>-1083</v>
      </c>
      <c r="G97" s="48" t="s">
        <v>167</v>
      </c>
      <c r="I97" s="13" t="s">
        <v>172</v>
      </c>
      <c r="J97" s="51">
        <f>SUM(B107:B114)</f>
        <v>25</v>
      </c>
      <c r="K97" s="51">
        <f t="shared" ref="K97:N97" si="41">SUM(C107:C114)</f>
        <v>-1386</v>
      </c>
      <c r="L97" s="51">
        <f t="shared" si="41"/>
        <v>-4815</v>
      </c>
      <c r="M97" s="51">
        <f t="shared" si="41"/>
        <v>-6686</v>
      </c>
      <c r="N97" s="51">
        <f t="shared" si="41"/>
        <v>-7448</v>
      </c>
    </row>
    <row r="98" spans="1:14">
      <c r="A98" s="16" t="s">
        <v>14</v>
      </c>
      <c r="B98" s="53">
        <v>-422</v>
      </c>
      <c r="C98" s="53">
        <v>-1709</v>
      </c>
      <c r="D98" s="53">
        <v>-6465</v>
      </c>
      <c r="E98" s="53">
        <v>-1195</v>
      </c>
      <c r="F98" s="53">
        <v>937</v>
      </c>
      <c r="G98" s="48" t="s">
        <v>166</v>
      </c>
      <c r="I98" s="1" t="s">
        <v>180</v>
      </c>
      <c r="J98" s="7">
        <f>SUM(J96:J97)</f>
        <v>-3132</v>
      </c>
      <c r="K98" s="7">
        <f t="shared" ref="K98:N98" si="42">SUM(K96:K97)</f>
        <v>-7868</v>
      </c>
      <c r="L98" s="7">
        <f t="shared" si="42"/>
        <v>-11973</v>
      </c>
      <c r="M98" s="7">
        <f>SUM(M96:M97)</f>
        <v>-15584</v>
      </c>
      <c r="N98" s="7">
        <f t="shared" si="42"/>
        <v>-18787</v>
      </c>
    </row>
    <row r="99" spans="1:14">
      <c r="A99" s="16" t="s">
        <v>130</v>
      </c>
      <c r="B99" s="53">
        <v>-1072</v>
      </c>
      <c r="C99" s="53">
        <v>-2114</v>
      </c>
      <c r="D99" s="53">
        <v>-1570</v>
      </c>
      <c r="E99" s="53">
        <v>-1952</v>
      </c>
      <c r="F99" s="53">
        <v>-590</v>
      </c>
      <c r="G99" s="48" t="s">
        <v>168</v>
      </c>
    </row>
    <row r="100" spans="1:14">
      <c r="A100" s="16" t="s">
        <v>131</v>
      </c>
      <c r="B100" s="53">
        <f>-251-344</f>
        <v>-595</v>
      </c>
      <c r="C100" s="53">
        <f>-271-1291</f>
        <v>-1562</v>
      </c>
      <c r="D100" s="53">
        <v>-3713</v>
      </c>
      <c r="E100" s="53">
        <v>-2652</v>
      </c>
      <c r="F100" s="53">
        <v>-3273</v>
      </c>
      <c r="G100" s="48" t="s">
        <v>169</v>
      </c>
      <c r="I100" s="13" t="s">
        <v>174</v>
      </c>
      <c r="J100" s="51">
        <f>B118</f>
        <v>12269</v>
      </c>
      <c r="K100" s="51">
        <f t="shared" ref="K100:N100" si="43">C118</f>
        <v>0</v>
      </c>
      <c r="L100" s="51">
        <f t="shared" si="43"/>
        <v>0</v>
      </c>
      <c r="M100" s="51">
        <f t="shared" si="43"/>
        <v>0</v>
      </c>
      <c r="N100" s="51">
        <f t="shared" si="43"/>
        <v>0</v>
      </c>
    </row>
    <row r="101" spans="1:14">
      <c r="A101" s="16" t="s">
        <v>132</v>
      </c>
      <c r="B101" s="53">
        <f>2102+7+495</f>
        <v>2604</v>
      </c>
      <c r="C101" s="53">
        <f>4578+186+476</f>
        <v>5240</v>
      </c>
      <c r="D101" s="53">
        <v>8029</v>
      </c>
      <c r="E101" s="53">
        <v>2605</v>
      </c>
      <c r="F101" s="53">
        <v>3588</v>
      </c>
      <c r="G101" s="48" t="s">
        <v>170</v>
      </c>
      <c r="I101" s="13" t="s">
        <v>175</v>
      </c>
      <c r="J101" s="51">
        <f>B119</f>
        <v>9713</v>
      </c>
      <c r="K101" s="51">
        <f t="shared" ref="K101:N101" si="44">C119</f>
        <v>8883</v>
      </c>
      <c r="L101" s="51">
        <f t="shared" si="44"/>
        <v>0</v>
      </c>
      <c r="M101" s="51">
        <f t="shared" si="44"/>
        <v>3931</v>
      </c>
      <c r="N101" s="51">
        <f t="shared" si="44"/>
        <v>5744</v>
      </c>
    </row>
    <row r="102" spans="1:14">
      <c r="A102" s="16" t="s">
        <v>65</v>
      </c>
      <c r="B102" s="53">
        <v>321</v>
      </c>
      <c r="C102" s="53">
        <v>793</v>
      </c>
      <c r="D102" s="53">
        <v>1131</v>
      </c>
      <c r="E102" s="53">
        <v>1532</v>
      </c>
      <c r="F102" s="53">
        <v>502</v>
      </c>
      <c r="G102" s="48" t="s">
        <v>168</v>
      </c>
      <c r="I102" s="13" t="s">
        <v>176</v>
      </c>
      <c r="J102" s="51">
        <f>B120+B122</f>
        <v>-12201</v>
      </c>
      <c r="K102" s="51">
        <f>C120+C122</f>
        <v>-14615</v>
      </c>
      <c r="L102" s="51">
        <f t="shared" ref="L102:N102" si="45">D120+D122</f>
        <v>-3866</v>
      </c>
      <c r="M102" s="51">
        <f t="shared" si="45"/>
        <v>-1815</v>
      </c>
      <c r="N102" s="51">
        <f t="shared" si="45"/>
        <v>-2881</v>
      </c>
    </row>
    <row r="103" spans="1:14">
      <c r="A103" s="27" t="s">
        <v>133</v>
      </c>
      <c r="B103" s="34">
        <v>5943</v>
      </c>
      <c r="C103" s="34">
        <v>11497</v>
      </c>
      <c r="D103" s="34">
        <v>14724</v>
      </c>
      <c r="E103" s="34">
        <f>SUM(E87:E102)</f>
        <v>13256</v>
      </c>
      <c r="F103" s="34">
        <f>SUM(F87:F102)</f>
        <v>14923</v>
      </c>
      <c r="G103" s="48"/>
      <c r="I103" s="13" t="s">
        <v>177</v>
      </c>
      <c r="J103" s="51">
        <f>B121+SUM(B123:B125)</f>
        <v>192</v>
      </c>
      <c r="K103" s="51">
        <f>C121+SUM(C123:C125)</f>
        <v>529</v>
      </c>
      <c r="L103" s="51">
        <f t="shared" ref="L103:N103" si="46">D121+SUM(D123:D125)</f>
        <v>339</v>
      </c>
      <c r="M103" s="51">
        <f t="shared" si="46"/>
        <v>473</v>
      </c>
      <c r="N103" s="51">
        <f t="shared" si="46"/>
        <v>990</v>
      </c>
    </row>
    <row r="104" spans="1:14">
      <c r="A104" s="15"/>
      <c r="B104" s="38"/>
      <c r="C104" s="38"/>
      <c r="D104" s="38"/>
      <c r="E104" s="38"/>
      <c r="F104" s="38"/>
      <c r="G104" s="48"/>
      <c r="I104" s="1" t="s">
        <v>181</v>
      </c>
      <c r="J104" s="7">
        <f>SUM(J100:J103)</f>
        <v>9973</v>
      </c>
      <c r="K104" s="7">
        <f t="shared" ref="K104:N104" si="47">SUM(K100:K103)</f>
        <v>-5203</v>
      </c>
      <c r="L104" s="7">
        <f t="shared" si="47"/>
        <v>-3527</v>
      </c>
      <c r="M104" s="7">
        <f t="shared" si="47"/>
        <v>2589</v>
      </c>
      <c r="N104" s="7">
        <f t="shared" si="47"/>
        <v>3853</v>
      </c>
    </row>
    <row r="105" spans="1:14">
      <c r="A105" s="15" t="s">
        <v>134</v>
      </c>
      <c r="B105" s="33"/>
      <c r="C105" s="33"/>
      <c r="D105" s="33"/>
      <c r="E105" s="33"/>
      <c r="F105" s="33"/>
      <c r="G105" s="48"/>
    </row>
    <row r="106" spans="1:14">
      <c r="A106" s="16" t="s">
        <v>135</v>
      </c>
      <c r="B106" s="53">
        <v>-3157</v>
      </c>
      <c r="C106" s="53">
        <v>-6482</v>
      </c>
      <c r="D106" s="53">
        <v>-7158</v>
      </c>
      <c r="E106" s="53">
        <v>-8898</v>
      </c>
      <c r="F106" s="53">
        <v>-11339</v>
      </c>
      <c r="G106" s="48" t="s">
        <v>171</v>
      </c>
      <c r="I106" s="13" t="s">
        <v>178</v>
      </c>
      <c r="J106" s="51">
        <f>B128</f>
        <v>334</v>
      </c>
      <c r="K106" s="51">
        <f t="shared" ref="K106:N106" si="48">C128</f>
        <v>-183</v>
      </c>
      <c r="L106" s="51">
        <f t="shared" si="48"/>
        <v>-444</v>
      </c>
      <c r="M106" s="51">
        <f t="shared" si="48"/>
        <v>4</v>
      </c>
      <c r="N106" s="51">
        <f t="shared" si="48"/>
        <v>-141</v>
      </c>
    </row>
    <row r="107" spans="1:14">
      <c r="A107" s="16" t="s">
        <v>136</v>
      </c>
      <c r="B107" s="53">
        <v>-75</v>
      </c>
      <c r="C107" s="53">
        <v>-32</v>
      </c>
      <c r="D107" s="53">
        <v>-5</v>
      </c>
      <c r="E107" s="53">
        <v>-1</v>
      </c>
      <c r="F107" s="53">
        <v>-3</v>
      </c>
      <c r="G107" s="48" t="s">
        <v>172</v>
      </c>
    </row>
    <row r="108" spans="1:14">
      <c r="A108" s="16" t="s">
        <v>137</v>
      </c>
      <c r="B108" s="53"/>
      <c r="C108" s="53">
        <v>272</v>
      </c>
      <c r="D108" s="53">
        <v>936</v>
      </c>
      <c r="E108" s="53">
        <v>0</v>
      </c>
      <c r="F108" s="53">
        <v>0</v>
      </c>
      <c r="G108" s="48" t="s">
        <v>172</v>
      </c>
      <c r="I108" s="1" t="s">
        <v>182</v>
      </c>
      <c r="J108" s="7">
        <f>J94+J98+J104+J106</f>
        <v>13118</v>
      </c>
      <c r="K108" s="7">
        <f t="shared" ref="K108:N108" si="49">K94+K98+K104+K106</f>
        <v>-1757</v>
      </c>
      <c r="L108" s="7">
        <f t="shared" si="49"/>
        <v>-1220</v>
      </c>
      <c r="M108" s="7">
        <f t="shared" si="49"/>
        <v>265</v>
      </c>
      <c r="N108" s="7">
        <f t="shared" si="49"/>
        <v>-152</v>
      </c>
    </row>
    <row r="109" spans="1:14">
      <c r="A109" s="16" t="s">
        <v>138</v>
      </c>
      <c r="B109" s="53">
        <v>-10</v>
      </c>
      <c r="C109" s="53"/>
      <c r="D109" s="53">
        <v>-9</v>
      </c>
      <c r="E109" s="53">
        <v>0</v>
      </c>
      <c r="F109" s="53">
        <v>0</v>
      </c>
      <c r="G109" s="48" t="s">
        <v>172</v>
      </c>
    </row>
    <row r="110" spans="1:14">
      <c r="A110" s="16" t="s">
        <v>139</v>
      </c>
      <c r="B110" s="53"/>
      <c r="C110" s="53">
        <v>-1632</v>
      </c>
      <c r="D110" s="53">
        <v>-5835</v>
      </c>
      <c r="E110" s="53">
        <v>-19112</v>
      </c>
      <c r="F110" s="53">
        <v>-35955</v>
      </c>
      <c r="G110" s="48" t="s">
        <v>172</v>
      </c>
      <c r="I110" s="13" t="s">
        <v>183</v>
      </c>
      <c r="J110" s="51">
        <f>B130</f>
        <v>6783</v>
      </c>
      <c r="K110" s="51">
        <f t="shared" ref="K110:N110" si="50">C130</f>
        <v>19901</v>
      </c>
      <c r="L110" s="51">
        <f t="shared" si="50"/>
        <v>18144</v>
      </c>
      <c r="M110" s="51">
        <f t="shared" si="50"/>
        <v>16924</v>
      </c>
      <c r="N110" s="51">
        <f t="shared" si="50"/>
        <v>17189</v>
      </c>
    </row>
    <row r="111" spans="1:14">
      <c r="A111" s="16" t="s">
        <v>140</v>
      </c>
      <c r="B111" s="53"/>
      <c r="C111" s="53"/>
      <c r="D111" s="53">
        <v>22</v>
      </c>
      <c r="E111" s="53">
        <v>12353</v>
      </c>
      <c r="F111" s="53">
        <v>28310</v>
      </c>
      <c r="G111" s="48" t="s">
        <v>172</v>
      </c>
      <c r="I111" s="13" t="s">
        <v>182</v>
      </c>
      <c r="J111" s="51">
        <f>J108</f>
        <v>13118</v>
      </c>
      <c r="K111" s="51">
        <f t="shared" ref="K111:N111" si="51">K108</f>
        <v>-1757</v>
      </c>
      <c r="L111" s="51">
        <f t="shared" si="51"/>
        <v>-1220</v>
      </c>
      <c r="M111" s="51">
        <f t="shared" si="51"/>
        <v>265</v>
      </c>
      <c r="N111" s="51">
        <f t="shared" si="51"/>
        <v>-152</v>
      </c>
    </row>
    <row r="112" spans="1:14">
      <c r="A112" s="16" t="s">
        <v>141</v>
      </c>
      <c r="B112" s="53"/>
      <c r="C112" s="53"/>
      <c r="D112" s="53">
        <v>0</v>
      </c>
      <c r="E112" s="53">
        <v>138</v>
      </c>
      <c r="F112" s="53">
        <v>200</v>
      </c>
      <c r="G112" s="48" t="s">
        <v>172</v>
      </c>
      <c r="I112" s="1" t="s">
        <v>184</v>
      </c>
      <c r="J112" s="7">
        <f>SUM(J110:J111)</f>
        <v>19901</v>
      </c>
      <c r="K112" s="7">
        <f t="shared" ref="K112:N112" si="52">SUM(K110:K111)</f>
        <v>18144</v>
      </c>
      <c r="L112" s="7">
        <f t="shared" si="52"/>
        <v>16924</v>
      </c>
      <c r="M112" s="7">
        <f t="shared" si="52"/>
        <v>17189</v>
      </c>
      <c r="N112" s="7">
        <f t="shared" si="52"/>
        <v>17037</v>
      </c>
    </row>
    <row r="113" spans="1:7">
      <c r="A113" s="16" t="s">
        <v>142</v>
      </c>
      <c r="B113" s="53">
        <v>123</v>
      </c>
      <c r="C113" s="53">
        <v>6</v>
      </c>
      <c r="D113" s="53">
        <v>76</v>
      </c>
      <c r="E113" s="53">
        <v>0</v>
      </c>
      <c r="F113" s="53">
        <v>0</v>
      </c>
      <c r="G113" s="48" t="s">
        <v>172</v>
      </c>
    </row>
    <row r="114" spans="1:7">
      <c r="A114" s="16" t="s">
        <v>143</v>
      </c>
      <c r="B114" s="53">
        <v>-13</v>
      </c>
      <c r="C114" s="53"/>
      <c r="D114" s="53">
        <v>0</v>
      </c>
      <c r="E114" s="53">
        <v>-64</v>
      </c>
      <c r="F114" s="53">
        <v>0</v>
      </c>
      <c r="G114" s="48" t="s">
        <v>172</v>
      </c>
    </row>
    <row r="115" spans="1:7">
      <c r="A115" s="27" t="s">
        <v>144</v>
      </c>
      <c r="B115" s="35">
        <v>-3132</v>
      </c>
      <c r="C115" s="35">
        <v>-7868</v>
      </c>
      <c r="D115" s="34">
        <v>-11973</v>
      </c>
      <c r="E115" s="34">
        <v>-15584</v>
      </c>
      <c r="F115" s="34">
        <v>-18787</v>
      </c>
      <c r="G115" s="48"/>
    </row>
    <row r="116" spans="1:7">
      <c r="A116" s="15"/>
      <c r="B116" s="39"/>
      <c r="C116" s="39"/>
      <c r="D116" s="38"/>
      <c r="E116" s="38"/>
      <c r="F116" s="38"/>
      <c r="G116" s="48"/>
    </row>
    <row r="117" spans="1:7">
      <c r="A117" s="15" t="s">
        <v>29</v>
      </c>
      <c r="B117" s="33"/>
      <c r="C117" s="33"/>
      <c r="D117" s="33"/>
      <c r="E117" s="33"/>
      <c r="F117" s="33"/>
      <c r="G117" s="48"/>
    </row>
    <row r="118" spans="1:7">
      <c r="A118" s="16" t="s">
        <v>173</v>
      </c>
      <c r="B118" s="53">
        <v>12269</v>
      </c>
      <c r="C118" s="53">
        <v>0</v>
      </c>
      <c r="D118" s="53">
        <v>0</v>
      </c>
      <c r="E118" s="53">
        <v>0</v>
      </c>
      <c r="F118" s="53">
        <v>0</v>
      </c>
      <c r="G118" s="48" t="s">
        <v>174</v>
      </c>
    </row>
    <row r="119" spans="1:7">
      <c r="A119" s="16" t="s">
        <v>30</v>
      </c>
      <c r="B119" s="53">
        <v>9713</v>
      </c>
      <c r="C119" s="53">
        <v>8883</v>
      </c>
      <c r="D119" s="53">
        <v>0</v>
      </c>
      <c r="E119" s="53">
        <v>3931</v>
      </c>
      <c r="F119" s="53">
        <v>5744</v>
      </c>
      <c r="G119" s="48" t="s">
        <v>175</v>
      </c>
    </row>
    <row r="120" spans="1:7">
      <c r="A120" s="16" t="s">
        <v>31</v>
      </c>
      <c r="B120" s="53">
        <v>-11623</v>
      </c>
      <c r="C120" s="53">
        <v>-14167</v>
      </c>
      <c r="D120" s="53">
        <v>-3364</v>
      </c>
      <c r="E120" s="53">
        <v>-1351</v>
      </c>
      <c r="F120" s="53">
        <v>-2500</v>
      </c>
      <c r="G120" s="48" t="s">
        <v>176</v>
      </c>
    </row>
    <row r="121" spans="1:7">
      <c r="A121" s="16" t="s">
        <v>32</v>
      </c>
      <c r="B121" s="53">
        <v>417</v>
      </c>
      <c r="C121" s="53">
        <v>707</v>
      </c>
      <c r="D121" s="53">
        <v>541</v>
      </c>
      <c r="E121" s="53">
        <v>700</v>
      </c>
      <c r="F121" s="53">
        <v>1241</v>
      </c>
      <c r="G121" s="48" t="s">
        <v>177</v>
      </c>
    </row>
    <row r="122" spans="1:7">
      <c r="A122" s="16" t="s">
        <v>33</v>
      </c>
      <c r="B122" s="53">
        <f>-338-240</f>
        <v>-578</v>
      </c>
      <c r="C122" s="53">
        <f>-439-9</f>
        <v>-448</v>
      </c>
      <c r="D122" s="53">
        <v>-502</v>
      </c>
      <c r="E122" s="53">
        <v>-464</v>
      </c>
      <c r="F122" s="53">
        <v>-381</v>
      </c>
      <c r="G122" s="48" t="s">
        <v>176</v>
      </c>
    </row>
    <row r="123" spans="1:7">
      <c r="A123" s="16" t="s">
        <v>34</v>
      </c>
      <c r="B123" s="53">
        <v>-6</v>
      </c>
      <c r="C123" s="53">
        <v>-9</v>
      </c>
      <c r="D123" s="53">
        <v>0</v>
      </c>
      <c r="E123" s="53">
        <v>-29</v>
      </c>
      <c r="F123" s="53">
        <v>-14</v>
      </c>
      <c r="G123" s="48" t="s">
        <v>177</v>
      </c>
    </row>
    <row r="124" spans="1:7">
      <c r="A124" s="16" t="s">
        <v>35</v>
      </c>
      <c r="B124" s="53">
        <f>-208+24</f>
        <v>-184</v>
      </c>
      <c r="C124" s="53">
        <v>-159</v>
      </c>
      <c r="D124" s="53">
        <v>-157</v>
      </c>
      <c r="E124" s="53">
        <v>-144</v>
      </c>
      <c r="F124" s="53">
        <v>-104</v>
      </c>
      <c r="G124" s="48" t="s">
        <v>177</v>
      </c>
    </row>
    <row r="125" spans="1:7">
      <c r="A125" s="16" t="s">
        <v>36</v>
      </c>
      <c r="B125" s="53">
        <v>-35</v>
      </c>
      <c r="C125" s="53">
        <v>-10</v>
      </c>
      <c r="D125" s="53">
        <v>-45</v>
      </c>
      <c r="E125" s="53">
        <v>-54</v>
      </c>
      <c r="F125" s="53">
        <v>-133</v>
      </c>
      <c r="G125" s="48" t="s">
        <v>177</v>
      </c>
    </row>
    <row r="126" spans="1:7">
      <c r="A126" s="27" t="s">
        <v>37</v>
      </c>
      <c r="B126" s="34">
        <v>9973</v>
      </c>
      <c r="C126" s="34">
        <v>-5203</v>
      </c>
      <c r="D126" s="34">
        <v>-3527</v>
      </c>
      <c r="E126" s="34">
        <f>SUM(E119:E125)</f>
        <v>2589</v>
      </c>
      <c r="F126" s="34">
        <f>SUM(F119:F125)</f>
        <v>3853</v>
      </c>
    </row>
    <row r="127" spans="1:7">
      <c r="A127" s="16"/>
      <c r="B127" s="32"/>
      <c r="C127" s="32"/>
      <c r="D127" s="32"/>
      <c r="E127" s="32"/>
      <c r="F127" s="32"/>
    </row>
    <row r="128" spans="1:7">
      <c r="A128" s="16" t="s">
        <v>38</v>
      </c>
      <c r="B128" s="53">
        <v>334</v>
      </c>
      <c r="C128" s="53">
        <v>-183</v>
      </c>
      <c r="D128" s="53">
        <v>-444</v>
      </c>
      <c r="E128" s="53">
        <v>4</v>
      </c>
      <c r="F128" s="53">
        <v>-141</v>
      </c>
      <c r="G128" s="48" t="s">
        <v>178</v>
      </c>
    </row>
    <row r="129" spans="1:6">
      <c r="A129" s="16" t="s">
        <v>39</v>
      </c>
      <c r="B129" s="56">
        <v>13118</v>
      </c>
      <c r="C129" s="56">
        <v>-1757</v>
      </c>
      <c r="D129" s="56">
        <v>-1220</v>
      </c>
      <c r="E129" s="56">
        <v>265</v>
      </c>
      <c r="F129" s="56">
        <v>-152</v>
      </c>
    </row>
    <row r="130" spans="1:6">
      <c r="A130" s="16" t="s">
        <v>40</v>
      </c>
      <c r="B130" s="53">
        <v>6783</v>
      </c>
      <c r="C130" s="53">
        <v>19901</v>
      </c>
      <c r="D130" s="53">
        <v>18144</v>
      </c>
      <c r="E130" s="53">
        <v>16924</v>
      </c>
      <c r="F130" s="53">
        <v>17189</v>
      </c>
    </row>
    <row r="131" spans="1:6">
      <c r="A131" s="26" t="s">
        <v>41</v>
      </c>
      <c r="B131" s="56">
        <v>19901</v>
      </c>
      <c r="C131" s="56">
        <v>18144</v>
      </c>
      <c r="D131" s="56">
        <v>16924</v>
      </c>
      <c r="E131" s="56">
        <v>17189</v>
      </c>
      <c r="F131" s="56">
        <v>17037</v>
      </c>
    </row>
    <row r="132" spans="1:6">
      <c r="A132" s="15" t="s">
        <v>42</v>
      </c>
      <c r="B132" s="33"/>
      <c r="C132" s="33"/>
      <c r="D132" s="33"/>
      <c r="E132" s="33"/>
      <c r="F132" s="33"/>
    </row>
    <row r="133" spans="1:6">
      <c r="A133" s="16" t="s">
        <v>43</v>
      </c>
      <c r="B133" s="53">
        <v>1088</v>
      </c>
      <c r="C133" s="53">
        <v>2251</v>
      </c>
      <c r="D133" s="53">
        <v>2148</v>
      </c>
      <c r="E133" s="53">
        <v>2272</v>
      </c>
      <c r="F133" s="53">
        <v>1410</v>
      </c>
    </row>
    <row r="134" spans="1:6">
      <c r="A134" s="15" t="s">
        <v>44</v>
      </c>
      <c r="B134" s="33"/>
      <c r="C134" s="33"/>
      <c r="D134" s="33"/>
      <c r="E134" s="33"/>
      <c r="F134" s="33"/>
    </row>
    <row r="135" spans="1:6">
      <c r="A135" s="16" t="s">
        <v>45</v>
      </c>
      <c r="B135" s="53">
        <v>444</v>
      </c>
      <c r="C135" s="53">
        <v>266</v>
      </c>
      <c r="D135" s="53">
        <v>152</v>
      </c>
      <c r="E135" s="53">
        <v>126</v>
      </c>
      <c r="F135" s="53">
        <v>277</v>
      </c>
    </row>
    <row r="136" spans="1:6">
      <c r="A136" s="16" t="s">
        <v>46</v>
      </c>
      <c r="B136" s="53">
        <v>115</v>
      </c>
      <c r="C136" s="53">
        <v>561</v>
      </c>
      <c r="D136" s="53">
        <v>1203</v>
      </c>
      <c r="E136" s="53">
        <v>1119</v>
      </c>
      <c r="F136" s="53">
        <v>1331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D0BF-84FC-C34B-BF1F-309960E7AF6A}">
  <dimension ref="A1:N220"/>
  <sheetViews>
    <sheetView zoomScale="110" zoomScaleNormal="125" workbookViewId="0">
      <pane ySplit="4" topLeftCell="A5" activePane="bottomLeft" state="frozen"/>
      <selection pane="bottomLeft" activeCell="D81" sqref="D81"/>
    </sheetView>
  </sheetViews>
  <sheetFormatPr baseColWidth="10" defaultRowHeight="16" outlineLevelRow="1"/>
  <cols>
    <col min="1" max="1" width="35.5" bestFit="1" customWidth="1"/>
    <col min="2" max="2" width="13.1640625" customWidth="1"/>
    <col min="7" max="7" width="12.33203125" customWidth="1"/>
    <col min="8" max="8" width="12.1640625" customWidth="1"/>
    <col min="9" max="11" width="12.33203125" customWidth="1"/>
  </cols>
  <sheetData>
    <row r="1" spans="1:12">
      <c r="B1" s="164" t="s">
        <v>72</v>
      </c>
      <c r="C1" s="164"/>
      <c r="D1" s="164"/>
      <c r="E1" s="164"/>
      <c r="F1" s="164"/>
      <c r="G1" s="165" t="s">
        <v>73</v>
      </c>
      <c r="H1" s="165"/>
      <c r="I1" s="165"/>
      <c r="J1" s="165"/>
      <c r="K1" s="165"/>
    </row>
    <row r="2" spans="1:12">
      <c r="B2" s="21">
        <v>2020</v>
      </c>
      <c r="C2" s="21">
        <v>2021</v>
      </c>
      <c r="D2" s="21">
        <v>2022</v>
      </c>
      <c r="E2" s="21">
        <v>2023</v>
      </c>
      <c r="F2" s="21">
        <v>2024</v>
      </c>
      <c r="G2" s="22">
        <v>2025</v>
      </c>
      <c r="H2" s="22">
        <v>2026</v>
      </c>
      <c r="I2" s="22">
        <v>2027</v>
      </c>
      <c r="J2" s="22">
        <v>2028</v>
      </c>
      <c r="K2" s="22">
        <v>2029</v>
      </c>
    </row>
    <row r="3" spans="1:12" ht="17" thickBot="1">
      <c r="A3" s="98" t="str">
        <f>IF(L32=0,"OK","NOT BALANCED")</f>
        <v>OK</v>
      </c>
      <c r="B3" s="100">
        <v>-5</v>
      </c>
      <c r="C3" s="100">
        <v>-4</v>
      </c>
      <c r="D3" s="100">
        <v>-3</v>
      </c>
      <c r="E3" s="100">
        <v>-2</v>
      </c>
      <c r="F3" s="100">
        <v>-1</v>
      </c>
      <c r="G3" s="101">
        <v>1</v>
      </c>
      <c r="H3" s="100">
        <f>G3+1</f>
        <v>2</v>
      </c>
      <c r="I3" s="100">
        <f>H3+1</f>
        <v>3</v>
      </c>
      <c r="J3" s="100">
        <f>I3+1</f>
        <v>4</v>
      </c>
      <c r="K3" s="100">
        <f>J3+1</f>
        <v>5</v>
      </c>
    </row>
    <row r="4" spans="1:12" ht="17" thickBot="1">
      <c r="A4" s="76" t="s">
        <v>218</v>
      </c>
      <c r="B4" s="1"/>
      <c r="C4" s="1"/>
      <c r="D4" s="1"/>
      <c r="E4" s="1"/>
      <c r="F4" s="8" t="s">
        <v>220</v>
      </c>
      <c r="G4" s="119">
        <v>2</v>
      </c>
      <c r="H4" s="77" t="str">
        <f>CHOOSE(G4,"BEAR","BASE","BULL")</f>
        <v>BASE</v>
      </c>
      <c r="I4" s="75"/>
      <c r="J4" s="75"/>
      <c r="K4" s="75"/>
    </row>
    <row r="5" spans="1:12" ht="23" thickBot="1">
      <c r="A5" s="155" t="s">
        <v>11</v>
      </c>
      <c r="B5" s="156"/>
      <c r="C5" s="156"/>
      <c r="D5" s="156"/>
      <c r="E5" s="156"/>
      <c r="F5" s="156"/>
      <c r="G5" s="156"/>
      <c r="H5" s="156"/>
      <c r="I5" s="156"/>
      <c r="J5" s="156"/>
      <c r="K5" s="157"/>
    </row>
    <row r="6" spans="1:12" outlineLevel="1">
      <c r="A6" s="1" t="s">
        <v>47</v>
      </c>
      <c r="B6" s="63"/>
      <c r="C6" s="63"/>
      <c r="D6" s="63"/>
      <c r="E6" s="63"/>
      <c r="F6" s="63"/>
      <c r="G6" s="68"/>
      <c r="H6" s="68"/>
      <c r="I6" s="68"/>
      <c r="J6" s="68"/>
      <c r="K6" s="68"/>
    </row>
    <row r="7" spans="1:12" outlineLevel="1">
      <c r="A7" t="s">
        <v>12</v>
      </c>
      <c r="B7" s="63">
        <v>19384</v>
      </c>
      <c r="C7" s="63">
        <v>17576</v>
      </c>
      <c r="D7" s="63">
        <v>16253</v>
      </c>
      <c r="E7" s="63">
        <v>16398</v>
      </c>
      <c r="F7" s="63">
        <v>16139</v>
      </c>
      <c r="G7" s="68">
        <f>G103</f>
        <v>17105.519</v>
      </c>
      <c r="H7" s="68">
        <f t="shared" ref="H7:K7" si="0">H103</f>
        <v>17618.684570000001</v>
      </c>
      <c r="I7" s="68">
        <f t="shared" si="0"/>
        <v>18147.2451071</v>
      </c>
      <c r="J7" s="68">
        <f t="shared" si="0"/>
        <v>18691.662460313</v>
      </c>
      <c r="K7" s="68">
        <f t="shared" si="0"/>
        <v>19252.412334122393</v>
      </c>
    </row>
    <row r="8" spans="1:12" outlineLevel="1">
      <c r="A8" t="s">
        <v>185</v>
      </c>
      <c r="B8" s="63"/>
      <c r="C8" s="63"/>
      <c r="D8" s="63"/>
      <c r="E8" s="63"/>
      <c r="F8" s="63"/>
      <c r="G8" s="17">
        <f>IF(G92&gt;0,G92,0)</f>
        <v>4585.4874750000054</v>
      </c>
      <c r="H8" s="17">
        <f>IF(H92&gt;0,H92,0)</f>
        <v>4912.9894995900031</v>
      </c>
      <c r="I8" s="17">
        <f>IF(I92&gt;0,I92,0)</f>
        <v>8962.5994698948452</v>
      </c>
      <c r="J8" s="17">
        <f>IF(J92&gt;0,J92,0)</f>
        <v>13835.739537688816</v>
      </c>
      <c r="K8" s="17">
        <f>IF(K92&gt;0,K92,0)</f>
        <v>19252.789046534923</v>
      </c>
      <c r="L8" s="17"/>
    </row>
    <row r="9" spans="1:12" outlineLevel="1">
      <c r="A9" t="s">
        <v>300</v>
      </c>
      <c r="B9" s="64">
        <v>0</v>
      </c>
      <c r="C9" s="64">
        <v>131</v>
      </c>
      <c r="D9" s="64">
        <v>5932</v>
      </c>
      <c r="E9" s="64">
        <v>12696</v>
      </c>
      <c r="F9" s="64">
        <v>20424</v>
      </c>
      <c r="G9" s="68">
        <f>G104</f>
        <v>15093.105</v>
      </c>
      <c r="H9" s="68">
        <f t="shared" ref="H9:K9" si="1">H104</f>
        <v>15545.898149999999</v>
      </c>
      <c r="I9" s="68">
        <f t="shared" si="1"/>
        <v>16012.275094499999</v>
      </c>
      <c r="J9" s="68">
        <f t="shared" si="1"/>
        <v>16492.643347334997</v>
      </c>
      <c r="K9" s="68">
        <f t="shared" si="1"/>
        <v>16987.422647755051</v>
      </c>
    </row>
    <row r="10" spans="1:12" outlineLevel="1">
      <c r="A10" t="s">
        <v>301</v>
      </c>
      <c r="B10" s="64">
        <v>1886</v>
      </c>
      <c r="C10" s="64">
        <v>1913</v>
      </c>
      <c r="D10" s="64">
        <v>2952</v>
      </c>
      <c r="E10" s="64">
        <v>3508</v>
      </c>
      <c r="F10" s="64">
        <v>4418</v>
      </c>
      <c r="G10" s="68">
        <f>G105</f>
        <v>4125.4486999999999</v>
      </c>
      <c r="H10" s="68">
        <f t="shared" ref="H10:K10" si="2">H105</f>
        <v>4249.2121610000004</v>
      </c>
      <c r="I10" s="68">
        <f t="shared" si="2"/>
        <v>4376.6885258299999</v>
      </c>
      <c r="J10" s="68">
        <f t="shared" si="2"/>
        <v>4507.9891816049003</v>
      </c>
      <c r="K10" s="68">
        <f t="shared" si="2"/>
        <v>4643.2288570530472</v>
      </c>
    </row>
    <row r="11" spans="1:12" outlineLevel="1">
      <c r="A11" t="s">
        <v>14</v>
      </c>
      <c r="B11" s="64">
        <v>4101</v>
      </c>
      <c r="C11" s="64">
        <v>5757</v>
      </c>
      <c r="D11" s="64">
        <v>12839</v>
      </c>
      <c r="E11" s="64">
        <v>13626</v>
      </c>
      <c r="F11" s="64">
        <v>12017</v>
      </c>
      <c r="G11" s="68">
        <f>G106</f>
        <v>13961.122124999998</v>
      </c>
      <c r="H11" s="68">
        <f t="shared" ref="H11:K11" si="3">H106</f>
        <v>14379.95578875</v>
      </c>
      <c r="I11" s="68">
        <f t="shared" si="3"/>
        <v>14811.354462412497</v>
      </c>
      <c r="J11" s="68">
        <f t="shared" si="3"/>
        <v>15255.695096284873</v>
      </c>
      <c r="K11" s="68">
        <f t="shared" si="3"/>
        <v>15713.365949173423</v>
      </c>
    </row>
    <row r="12" spans="1:12" outlineLevel="1">
      <c r="A12" t="s">
        <v>302</v>
      </c>
      <c r="B12" s="64">
        <v>1346</v>
      </c>
      <c r="C12" s="64">
        <v>1723</v>
      </c>
      <c r="D12" s="64">
        <v>2941</v>
      </c>
      <c r="E12" s="64">
        <v>3388</v>
      </c>
      <c r="F12" s="64">
        <v>5362</v>
      </c>
      <c r="G12" s="68">
        <f>G107</f>
        <v>4024.828</v>
      </c>
      <c r="H12" s="68">
        <f t="shared" ref="H12:K12" si="4">H107</f>
        <v>4145.5728399999998</v>
      </c>
      <c r="I12" s="68">
        <f t="shared" si="4"/>
        <v>4269.9400251999996</v>
      </c>
      <c r="J12" s="68">
        <f t="shared" si="4"/>
        <v>4398.0382259560001</v>
      </c>
      <c r="K12" s="68">
        <f t="shared" si="4"/>
        <v>4529.9793727346805</v>
      </c>
    </row>
    <row r="13" spans="1:12" outlineLevel="1">
      <c r="A13" t="s">
        <v>147</v>
      </c>
      <c r="B13" s="64">
        <v>12747</v>
      </c>
      <c r="C13" s="64">
        <v>18884</v>
      </c>
      <c r="D13" s="64">
        <v>23548</v>
      </c>
      <c r="E13" s="64">
        <v>29725</v>
      </c>
      <c r="F13" s="64">
        <v>35836</v>
      </c>
      <c r="G13" s="68">
        <f>G37</f>
        <v>40363.931499999999</v>
      </c>
      <c r="H13" s="68">
        <f>H37</f>
        <v>45027.700944999997</v>
      </c>
      <c r="I13" s="68">
        <f>I37</f>
        <v>49831.383473349997</v>
      </c>
      <c r="J13" s="68">
        <f>J37</f>
        <v>54779.176477550493</v>
      </c>
      <c r="K13" s="68">
        <f>K37</f>
        <v>59875.403271877003</v>
      </c>
    </row>
    <row r="14" spans="1:12" outlineLevel="1">
      <c r="A14" t="s">
        <v>58</v>
      </c>
      <c r="B14" s="64">
        <v>207</v>
      </c>
      <c r="C14" s="64">
        <v>200</v>
      </c>
      <c r="D14" s="64">
        <v>194</v>
      </c>
      <c r="E14" s="64">
        <v>253</v>
      </c>
      <c r="F14" s="64">
        <v>244</v>
      </c>
      <c r="G14" s="64">
        <v>244</v>
      </c>
      <c r="H14" s="64">
        <v>244</v>
      </c>
      <c r="I14" s="64">
        <v>244</v>
      </c>
      <c r="J14" s="64">
        <v>244</v>
      </c>
      <c r="K14" s="64">
        <v>244</v>
      </c>
    </row>
    <row r="15" spans="1:12" outlineLevel="1">
      <c r="A15" t="s">
        <v>303</v>
      </c>
      <c r="B15" s="64">
        <v>12477</v>
      </c>
      <c r="C15" s="64">
        <v>15947</v>
      </c>
      <c r="D15" s="64">
        <v>17679</v>
      </c>
      <c r="E15" s="64">
        <v>27024</v>
      </c>
      <c r="F15" s="64">
        <v>27630</v>
      </c>
      <c r="G15" s="64">
        <f>F15</f>
        <v>27630</v>
      </c>
      <c r="H15" s="64">
        <f>G15</f>
        <v>27630</v>
      </c>
      <c r="I15" s="64">
        <f>H15</f>
        <v>27630</v>
      </c>
      <c r="J15" s="64">
        <f>I15</f>
        <v>27630</v>
      </c>
      <c r="K15" s="64">
        <f>J15</f>
        <v>27630</v>
      </c>
    </row>
    <row r="16" spans="1:12" ht="17" outlineLevel="1" thickBot="1">
      <c r="A16" s="24" t="s">
        <v>16</v>
      </c>
      <c r="B16" s="121">
        <v>52148</v>
      </c>
      <c r="C16" s="121">
        <v>62131</v>
      </c>
      <c r="D16" s="121">
        <v>82338</v>
      </c>
      <c r="E16" s="121">
        <v>106618</v>
      </c>
      <c r="F16" s="121">
        <v>122070</v>
      </c>
      <c r="G16" s="121">
        <f>SUM(G7:G15)</f>
        <v>127133.4418</v>
      </c>
      <c r="H16" s="121">
        <f>SUM(H7:H15)</f>
        <v>133754.01395434001</v>
      </c>
      <c r="I16" s="121">
        <f>SUM(I7:I15)</f>
        <v>144285.48615828733</v>
      </c>
      <c r="J16" s="121">
        <f>SUM(J7:J15)</f>
        <v>155834.94432673306</v>
      </c>
      <c r="K16" s="121">
        <f>SUM(K7:K15)</f>
        <v>168128.60147925053</v>
      </c>
    </row>
    <row r="17" spans="1:12" ht="17" outlineLevel="1" thickTop="1">
      <c r="A17" s="1"/>
      <c r="B17" s="86"/>
      <c r="C17" s="86"/>
      <c r="D17" s="86"/>
      <c r="E17" s="86"/>
      <c r="F17" s="86"/>
      <c r="G17" s="86"/>
      <c r="H17" s="86"/>
      <c r="I17" s="86"/>
      <c r="J17" s="86"/>
      <c r="K17" s="86"/>
    </row>
    <row r="18" spans="1:12" outlineLevel="1">
      <c r="A18" s="1" t="s">
        <v>62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</row>
    <row r="19" spans="1:12" outlineLevel="1">
      <c r="A19" t="s">
        <v>149</v>
      </c>
      <c r="B19" s="64">
        <v>10658</v>
      </c>
      <c r="C19" s="64">
        <v>16669</v>
      </c>
      <c r="D19" s="64">
        <v>23460</v>
      </c>
      <c r="E19" s="64">
        <v>23511</v>
      </c>
      <c r="F19" s="64">
        <v>23197</v>
      </c>
      <c r="G19" s="68">
        <f>G109</f>
        <v>23394.312749999997</v>
      </c>
      <c r="H19" s="68">
        <f t="shared" ref="H19:K19" si="5">H109</f>
        <v>24096.142132499997</v>
      </c>
      <c r="I19" s="68">
        <f t="shared" si="5"/>
        <v>24819.026396474997</v>
      </c>
      <c r="J19" s="68">
        <f t="shared" si="5"/>
        <v>25563.597188369247</v>
      </c>
      <c r="K19" s="68">
        <f t="shared" si="5"/>
        <v>26330.505104020329</v>
      </c>
    </row>
    <row r="20" spans="1:12" outlineLevel="1">
      <c r="A20" t="s">
        <v>263</v>
      </c>
      <c r="B20" s="64">
        <v>1458</v>
      </c>
      <c r="C20" s="64">
        <v>1447</v>
      </c>
      <c r="D20" s="64">
        <v>1747</v>
      </c>
      <c r="E20" s="64">
        <v>2864</v>
      </c>
      <c r="F20" s="64">
        <v>3168</v>
      </c>
      <c r="G20" s="68">
        <f>G110</f>
        <v>3018.6209999999996</v>
      </c>
      <c r="H20" s="68">
        <f t="shared" ref="H20:K20" si="6">H110</f>
        <v>3109.1796299999996</v>
      </c>
      <c r="I20" s="68">
        <f t="shared" si="6"/>
        <v>3202.4550188999997</v>
      </c>
      <c r="J20" s="68">
        <f t="shared" si="6"/>
        <v>3298.5286694669999</v>
      </c>
      <c r="K20" s="68">
        <f t="shared" si="6"/>
        <v>3397.4845295510099</v>
      </c>
    </row>
    <row r="21" spans="1:12" outlineLevel="1">
      <c r="A21" t="s">
        <v>262</v>
      </c>
      <c r="B21" s="64"/>
      <c r="C21" s="64"/>
      <c r="D21" s="64"/>
      <c r="E21" s="64"/>
      <c r="F21" s="64"/>
      <c r="G21" s="17">
        <f>-IF(G92&lt;0,G92,0)</f>
        <v>0</v>
      </c>
      <c r="H21" s="17">
        <f>-IF(H92&lt;0,H92,0)</f>
        <v>0</v>
      </c>
      <c r="I21" s="17">
        <f>-IF(I92&lt;0,I92,0)</f>
        <v>0</v>
      </c>
      <c r="J21" s="17">
        <f>-IF(J92&lt;0,J92,0)</f>
        <v>0</v>
      </c>
      <c r="K21" s="17">
        <f>-IF(K92&lt;0,K92,0)</f>
        <v>0</v>
      </c>
    </row>
    <row r="22" spans="1:12" outlineLevel="1">
      <c r="A22" t="s">
        <v>150</v>
      </c>
      <c r="B22" s="64">
        <v>11739</v>
      </c>
      <c r="C22" s="64">
        <v>6834</v>
      </c>
      <c r="D22" s="64">
        <v>3099</v>
      </c>
      <c r="E22" s="64">
        <v>5230</v>
      </c>
      <c r="F22" s="64">
        <v>8213</v>
      </c>
      <c r="G22" s="68">
        <f>G113</f>
        <v>5860</v>
      </c>
      <c r="H22" s="68">
        <f t="shared" ref="H22:K22" si="7">H113</f>
        <v>1744</v>
      </c>
      <c r="I22" s="68">
        <f t="shared" si="7"/>
        <v>1045</v>
      </c>
      <c r="J22" s="68">
        <f t="shared" si="7"/>
        <v>802</v>
      </c>
      <c r="K22" s="68">
        <f t="shared" si="7"/>
        <v>707</v>
      </c>
    </row>
    <row r="23" spans="1:12" outlineLevel="1">
      <c r="A23" t="s">
        <v>264</v>
      </c>
      <c r="B23" s="64">
        <v>4614</v>
      </c>
      <c r="C23" s="64">
        <v>5598</v>
      </c>
      <c r="D23" s="64">
        <v>8134</v>
      </c>
      <c r="E23" s="64">
        <v>11404</v>
      </c>
      <c r="F23" s="64">
        <v>13812</v>
      </c>
      <c r="G23" s="68">
        <f>G111</f>
        <v>12225.415050000001</v>
      </c>
      <c r="H23" s="68">
        <f t="shared" ref="H23:K23" si="8">H111</f>
        <v>12592.1775015</v>
      </c>
      <c r="I23" s="68">
        <f t="shared" si="8"/>
        <v>12969.942826544997</v>
      </c>
      <c r="J23" s="68">
        <f t="shared" si="8"/>
        <v>13359.04111134135</v>
      </c>
      <c r="K23" s="68">
        <f t="shared" si="8"/>
        <v>13759.812344681593</v>
      </c>
    </row>
    <row r="24" spans="1:12" outlineLevel="1">
      <c r="A24" s="4" t="s">
        <v>17</v>
      </c>
      <c r="B24" s="59">
        <f t="shared" ref="B24:K24" si="9">SUM(B19:B23)</f>
        <v>28469</v>
      </c>
      <c r="C24" s="59">
        <f t="shared" si="9"/>
        <v>30548</v>
      </c>
      <c r="D24" s="59">
        <f t="shared" si="9"/>
        <v>36440</v>
      </c>
      <c r="E24" s="59">
        <f t="shared" si="9"/>
        <v>43009</v>
      </c>
      <c r="F24" s="59">
        <f t="shared" si="9"/>
        <v>48390</v>
      </c>
      <c r="G24" s="59">
        <f t="shared" si="9"/>
        <v>44498.3488</v>
      </c>
      <c r="H24" s="59">
        <f t="shared" si="9"/>
        <v>41541.499263999998</v>
      </c>
      <c r="I24" s="59">
        <f t="shared" si="9"/>
        <v>42036.424241919995</v>
      </c>
      <c r="J24" s="59">
        <f t="shared" si="9"/>
        <v>43023.166969177597</v>
      </c>
      <c r="K24" s="59">
        <f t="shared" si="9"/>
        <v>44194.80197825293</v>
      </c>
    </row>
    <row r="25" spans="1:12" outlineLevel="1">
      <c r="A25" s="1" t="s">
        <v>307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</row>
    <row r="26" spans="1:12" outlineLevel="1">
      <c r="A26" t="s">
        <v>304</v>
      </c>
      <c r="B26" s="64">
        <v>27261</v>
      </c>
      <c r="C26" s="64">
        <v>29804</v>
      </c>
      <c r="D26" s="64">
        <v>32180</v>
      </c>
      <c r="E26" s="64">
        <v>34895</v>
      </c>
      <c r="F26" s="64">
        <v>38374</v>
      </c>
      <c r="G26" s="64">
        <f t="shared" ref="G26:K27" si="10">F26</f>
        <v>38374</v>
      </c>
      <c r="H26" s="64">
        <f t="shared" si="10"/>
        <v>38374</v>
      </c>
      <c r="I26" s="64">
        <f t="shared" si="10"/>
        <v>38374</v>
      </c>
      <c r="J26" s="64">
        <f t="shared" si="10"/>
        <v>38374</v>
      </c>
      <c r="K26" s="64">
        <f t="shared" si="10"/>
        <v>38374</v>
      </c>
    </row>
    <row r="27" spans="1:12" outlineLevel="1">
      <c r="A27" t="s">
        <v>305</v>
      </c>
      <c r="B27" s="64">
        <v>363</v>
      </c>
      <c r="C27" s="64">
        <v>54</v>
      </c>
      <c r="D27" s="64">
        <v>-361</v>
      </c>
      <c r="E27" s="64">
        <v>-143</v>
      </c>
      <c r="F27" s="64">
        <v>-670</v>
      </c>
      <c r="G27" s="64">
        <f t="shared" si="10"/>
        <v>-670</v>
      </c>
      <c r="H27" s="64">
        <f t="shared" si="10"/>
        <v>-670</v>
      </c>
      <c r="I27" s="64">
        <f t="shared" si="10"/>
        <v>-670</v>
      </c>
      <c r="J27" s="64">
        <f t="shared" si="10"/>
        <v>-670</v>
      </c>
      <c r="K27" s="64">
        <f t="shared" si="10"/>
        <v>-670</v>
      </c>
    </row>
    <row r="28" spans="1:12" outlineLevel="1">
      <c r="A28" t="s">
        <v>306</v>
      </c>
      <c r="B28" s="64">
        <v>-5399</v>
      </c>
      <c r="C28" s="64">
        <v>331</v>
      </c>
      <c r="D28" s="64">
        <v>12885</v>
      </c>
      <c r="E28" s="64">
        <v>27882</v>
      </c>
      <c r="F28" s="64">
        <v>35209</v>
      </c>
      <c r="G28" s="68">
        <f>G59</f>
        <v>44164.093000000008</v>
      </c>
      <c r="H28" s="68">
        <f>H59</f>
        <v>53741.514690340009</v>
      </c>
      <c r="I28" s="68">
        <f>I59</f>
        <v>63778.061916367355</v>
      </c>
      <c r="J28" s="68">
        <f>J59</f>
        <v>74340.777357555504</v>
      </c>
      <c r="K28" s="68">
        <f>K59</f>
        <v>85462.799500997615</v>
      </c>
    </row>
    <row r="29" spans="1:12" outlineLevel="1">
      <c r="A29" t="s">
        <v>15</v>
      </c>
      <c r="B29" s="64">
        <v>1454</v>
      </c>
      <c r="C29" s="64">
        <v>1394</v>
      </c>
      <c r="D29" s="64">
        <v>1194</v>
      </c>
      <c r="E29" s="64">
        <v>975</v>
      </c>
      <c r="F29" s="64">
        <v>767</v>
      </c>
      <c r="G29" s="64">
        <f>F29</f>
        <v>767</v>
      </c>
      <c r="H29" s="64">
        <f>G29</f>
        <v>767</v>
      </c>
      <c r="I29" s="64">
        <f>H29</f>
        <v>767</v>
      </c>
      <c r="J29" s="64">
        <f>I29</f>
        <v>767</v>
      </c>
      <c r="K29" s="64">
        <f>J29</f>
        <v>767</v>
      </c>
    </row>
    <row r="30" spans="1:12" outlineLevel="1">
      <c r="A30" s="120" t="s">
        <v>307</v>
      </c>
      <c r="B30" s="59">
        <f t="shared" ref="B30:K30" si="11">SUM(B26:B29)</f>
        <v>23679</v>
      </c>
      <c r="C30" s="59">
        <f t="shared" si="11"/>
        <v>31583</v>
      </c>
      <c r="D30" s="59">
        <f t="shared" si="11"/>
        <v>45898</v>
      </c>
      <c r="E30" s="59">
        <f t="shared" si="11"/>
        <v>63609</v>
      </c>
      <c r="F30" s="59">
        <f t="shared" si="11"/>
        <v>73680</v>
      </c>
      <c r="G30" s="59">
        <f t="shared" si="11"/>
        <v>82635.093000000008</v>
      </c>
      <c r="H30" s="59">
        <f t="shared" si="11"/>
        <v>92212.514690340002</v>
      </c>
      <c r="I30" s="59">
        <f t="shared" si="11"/>
        <v>102249.06191636735</v>
      </c>
      <c r="J30" s="59">
        <f t="shared" si="11"/>
        <v>112811.7773575555</v>
      </c>
      <c r="K30" s="59">
        <f t="shared" si="11"/>
        <v>123933.79950099761</v>
      </c>
    </row>
    <row r="31" spans="1:12" ht="17" outlineLevel="1" thickBot="1">
      <c r="A31" s="24" t="s">
        <v>308</v>
      </c>
      <c r="B31" s="121">
        <f t="shared" ref="B31:K31" si="12">B24+B30</f>
        <v>52148</v>
      </c>
      <c r="C31" s="121">
        <f t="shared" si="12"/>
        <v>62131</v>
      </c>
      <c r="D31" s="121">
        <f t="shared" si="12"/>
        <v>82338</v>
      </c>
      <c r="E31" s="121">
        <f t="shared" si="12"/>
        <v>106618</v>
      </c>
      <c r="F31" s="121">
        <f t="shared" si="12"/>
        <v>122070</v>
      </c>
      <c r="G31" s="121">
        <f t="shared" si="12"/>
        <v>127133.4418</v>
      </c>
      <c r="H31" s="121">
        <f t="shared" si="12"/>
        <v>133754.01395434001</v>
      </c>
      <c r="I31" s="121">
        <f t="shared" si="12"/>
        <v>144285.48615828736</v>
      </c>
      <c r="J31" s="121">
        <f t="shared" si="12"/>
        <v>155834.94432673309</v>
      </c>
      <c r="K31" s="121">
        <f t="shared" si="12"/>
        <v>168128.60147925053</v>
      </c>
    </row>
    <row r="32" spans="1:12" ht="17" outlineLevel="1" thickTop="1">
      <c r="A32" s="65" t="s">
        <v>155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f>G16-G31</f>
        <v>0</v>
      </c>
      <c r="H32" s="11">
        <f>H16-H31</f>
        <v>0</v>
      </c>
      <c r="I32" s="11">
        <f>I16-I31</f>
        <v>0</v>
      </c>
      <c r="J32" s="11">
        <f>J16-J31</f>
        <v>0</v>
      </c>
      <c r="K32" s="11">
        <f>K16-K31</f>
        <v>0</v>
      </c>
      <c r="L32" s="11">
        <f>SUM(B32:K32)</f>
        <v>0</v>
      </c>
    </row>
    <row r="33" spans="1:11" outlineLevel="1"/>
    <row r="34" spans="1:11" outlineLevel="1">
      <c r="A34" t="s">
        <v>186</v>
      </c>
      <c r="G34" s="69">
        <f>F37</f>
        <v>35836</v>
      </c>
      <c r="H34" s="69">
        <f>G37</f>
        <v>40363.931499999999</v>
      </c>
      <c r="I34" s="69">
        <f>H37</f>
        <v>45027.700944999997</v>
      </c>
      <c r="J34" s="69">
        <f>I37</f>
        <v>49831.383473349997</v>
      </c>
      <c r="K34" s="69">
        <f>J37</f>
        <v>54779.176477550493</v>
      </c>
    </row>
    <row r="35" spans="1:11" outlineLevel="1">
      <c r="A35" s="66" t="s">
        <v>187</v>
      </c>
      <c r="G35" s="68">
        <f>+G114</f>
        <v>10062.07</v>
      </c>
      <c r="H35" s="68">
        <f t="shared" ref="H35:K35" si="13">+H114</f>
        <v>10363.9321</v>
      </c>
      <c r="I35" s="68">
        <f t="shared" si="13"/>
        <v>10674.850063</v>
      </c>
      <c r="J35" s="68">
        <f t="shared" si="13"/>
        <v>10995.09556489</v>
      </c>
      <c r="K35" s="68">
        <f t="shared" si="13"/>
        <v>11324.948431836701</v>
      </c>
    </row>
    <row r="36" spans="1:11" outlineLevel="1">
      <c r="A36" s="66" t="s">
        <v>188</v>
      </c>
      <c r="G36" s="68">
        <f>G97</f>
        <v>5534.1385</v>
      </c>
      <c r="H36" s="68">
        <f t="shared" ref="H36:K36" si="14">H97</f>
        <v>5700.1626550000001</v>
      </c>
      <c r="I36" s="68">
        <f t="shared" si="14"/>
        <v>5871.1675346499997</v>
      </c>
      <c r="J36" s="68">
        <f t="shared" si="14"/>
        <v>6047.3025606894998</v>
      </c>
      <c r="K36" s="68">
        <f t="shared" si="14"/>
        <v>6228.7216375101852</v>
      </c>
    </row>
    <row r="37" spans="1:11" outlineLevel="1">
      <c r="A37" s="1" t="s">
        <v>189</v>
      </c>
      <c r="F37" s="95">
        <f>F13</f>
        <v>35836</v>
      </c>
      <c r="G37" s="97">
        <f>G34+G35-G36</f>
        <v>40363.931499999999</v>
      </c>
      <c r="H37" s="97">
        <f>H34+H35-H36</f>
        <v>45027.700944999997</v>
      </c>
      <c r="I37" s="97">
        <f>I34+I35-I36</f>
        <v>49831.383473349997</v>
      </c>
      <c r="J37" s="97">
        <f>J34+J35-J36</f>
        <v>54779.176477550493</v>
      </c>
      <c r="K37" s="97">
        <f>K34+K35-K36</f>
        <v>59875.403271877003</v>
      </c>
    </row>
    <row r="38" spans="1:11" ht="17" thickBot="1"/>
    <row r="39" spans="1:11" ht="23" thickBot="1">
      <c r="A39" s="155" t="s">
        <v>0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7"/>
    </row>
    <row r="40" spans="1:11" outlineLevel="1">
      <c r="A40" t="s">
        <v>85</v>
      </c>
      <c r="B40" s="94">
        <v>31536</v>
      </c>
      <c r="C40" s="94">
        <v>53823</v>
      </c>
      <c r="D40" s="94">
        <v>81462</v>
      </c>
      <c r="E40" s="94">
        <v>96773</v>
      </c>
      <c r="F40" s="94">
        <v>97690</v>
      </c>
      <c r="G40" s="69">
        <f>G95</f>
        <v>100620.7</v>
      </c>
      <c r="H40" s="69">
        <f t="shared" ref="H40:K40" si="15">H95</f>
        <v>103639.321</v>
      </c>
      <c r="I40" s="69">
        <f t="shared" si="15"/>
        <v>106748.50062999999</v>
      </c>
      <c r="J40" s="69">
        <f t="shared" si="15"/>
        <v>109950.9556489</v>
      </c>
      <c r="K40" s="69">
        <f t="shared" si="15"/>
        <v>113249.484318367</v>
      </c>
    </row>
    <row r="41" spans="1:11" outlineLevel="1">
      <c r="A41" t="s">
        <v>309</v>
      </c>
      <c r="B41" s="67">
        <v>22584</v>
      </c>
      <c r="C41" s="67">
        <v>37306</v>
      </c>
      <c r="D41" s="67">
        <v>56862</v>
      </c>
      <c r="E41" s="67">
        <v>74446</v>
      </c>
      <c r="F41" s="67">
        <v>74872</v>
      </c>
      <c r="G41" s="68">
        <f>G96</f>
        <v>75465.524999999994</v>
      </c>
      <c r="H41" s="68">
        <f t="shared" ref="H41:K41" si="16">H96</f>
        <v>77729.490749999997</v>
      </c>
      <c r="I41" s="68">
        <f t="shared" si="16"/>
        <v>80061.375472499989</v>
      </c>
      <c r="J41" s="68">
        <f t="shared" si="16"/>
        <v>82463.216736674993</v>
      </c>
      <c r="K41" s="68">
        <f t="shared" si="16"/>
        <v>84937.113238775259</v>
      </c>
    </row>
    <row r="42" spans="1:11" outlineLevel="1">
      <c r="A42" s="59" t="s">
        <v>96</v>
      </c>
      <c r="B42" s="59">
        <v>8952</v>
      </c>
      <c r="C42" s="59">
        <v>16517</v>
      </c>
      <c r="D42" s="59">
        <v>24600</v>
      </c>
      <c r="E42" s="59">
        <v>22327</v>
      </c>
      <c r="F42" s="59">
        <v>22818</v>
      </c>
      <c r="G42" s="59">
        <f>G40-G41</f>
        <v>25155.175000000003</v>
      </c>
      <c r="H42" s="59">
        <f>H40-H41</f>
        <v>25909.830249999999</v>
      </c>
      <c r="I42" s="59">
        <f>I40-I41</f>
        <v>26687.125157500006</v>
      </c>
      <c r="J42" s="59">
        <f>J40-J41</f>
        <v>27487.738912225002</v>
      </c>
      <c r="K42" s="59">
        <f>K40-K41</f>
        <v>28312.371079591743</v>
      </c>
    </row>
    <row r="43" spans="1:11" outlineLevel="1">
      <c r="A43" t="s">
        <v>157</v>
      </c>
      <c r="B43" s="67">
        <v>1491</v>
      </c>
      <c r="C43" s="67">
        <v>2593</v>
      </c>
      <c r="D43" s="67">
        <v>3075</v>
      </c>
      <c r="E43" s="67">
        <v>3969</v>
      </c>
      <c r="F43" s="67">
        <v>4540</v>
      </c>
      <c r="G43" s="68">
        <f>G98</f>
        <v>4527.9314999999997</v>
      </c>
      <c r="H43" s="68">
        <f t="shared" ref="H43:K43" si="17">H98</f>
        <v>4663.7694449999999</v>
      </c>
      <c r="I43" s="68">
        <f t="shared" si="17"/>
        <v>4803.6825283499993</v>
      </c>
      <c r="J43" s="68">
        <f t="shared" si="17"/>
        <v>4947.7930042005</v>
      </c>
      <c r="K43" s="68">
        <f t="shared" si="17"/>
        <v>5096.2267943265151</v>
      </c>
    </row>
    <row r="44" spans="1:11" outlineLevel="1">
      <c r="A44" t="s">
        <v>158</v>
      </c>
      <c r="B44" s="67">
        <v>3145</v>
      </c>
      <c r="C44" s="67">
        <v>4517</v>
      </c>
      <c r="D44" s="67">
        <v>3946</v>
      </c>
      <c r="E44" s="67">
        <v>4800</v>
      </c>
      <c r="F44" s="67">
        <v>5150</v>
      </c>
      <c r="G44" s="68">
        <f>G99</f>
        <v>5031.0349999999999</v>
      </c>
      <c r="H44" s="68">
        <f t="shared" ref="H44:K44" si="18">H99</f>
        <v>5181.96605</v>
      </c>
      <c r="I44" s="68">
        <f t="shared" si="18"/>
        <v>5337.4250314999999</v>
      </c>
      <c r="J44" s="68">
        <f t="shared" si="18"/>
        <v>5497.5477824449999</v>
      </c>
      <c r="K44" s="68">
        <f t="shared" si="18"/>
        <v>5662.4742159183506</v>
      </c>
    </row>
    <row r="45" spans="1:11" outlineLevel="1">
      <c r="A45" s="59" t="s">
        <v>163</v>
      </c>
      <c r="B45" s="59">
        <v>4316</v>
      </c>
      <c r="C45" s="59">
        <v>9407</v>
      </c>
      <c r="D45" s="59">
        <v>17579</v>
      </c>
      <c r="E45" s="59">
        <v>13558</v>
      </c>
      <c r="F45" s="59">
        <v>13128</v>
      </c>
      <c r="G45" s="59">
        <f>G42-G43-G44</f>
        <v>15596.208500000004</v>
      </c>
      <c r="H45" s="59">
        <f>H42-H43-H44</f>
        <v>16064.094755000002</v>
      </c>
      <c r="I45" s="59">
        <f>I42-I43-I44</f>
        <v>16546.017597650007</v>
      </c>
      <c r="J45" s="59">
        <f>J42-J43-J44</f>
        <v>17042.398125579504</v>
      </c>
      <c r="K45" s="59">
        <f>K42-K43-K44</f>
        <v>17553.670069346877</v>
      </c>
    </row>
    <row r="46" spans="1:11" outlineLevel="1">
      <c r="A46" t="s">
        <v>164</v>
      </c>
      <c r="B46" s="67">
        <v>2322</v>
      </c>
      <c r="C46" s="67">
        <v>2911</v>
      </c>
      <c r="D46" s="67">
        <v>3747</v>
      </c>
      <c r="E46" s="67">
        <v>4667</v>
      </c>
      <c r="F46" s="67">
        <v>5368</v>
      </c>
      <c r="G46" s="68">
        <f>G97</f>
        <v>5534.1385</v>
      </c>
      <c r="H46" s="68">
        <f t="shared" ref="H46:K46" si="19">H97</f>
        <v>5700.1626550000001</v>
      </c>
      <c r="I46" s="68">
        <f t="shared" si="19"/>
        <v>5871.1675346499997</v>
      </c>
      <c r="J46" s="68">
        <f t="shared" si="19"/>
        <v>6047.3025606894998</v>
      </c>
      <c r="K46" s="68">
        <f t="shared" si="19"/>
        <v>6228.7216375101852</v>
      </c>
    </row>
    <row r="47" spans="1:11" outlineLevel="1">
      <c r="A47" t="s">
        <v>159</v>
      </c>
      <c r="B47" s="67">
        <v>0</v>
      </c>
      <c r="C47" s="67">
        <v>-27</v>
      </c>
      <c r="D47" s="67">
        <v>176</v>
      </c>
      <c r="E47" s="67">
        <v>0</v>
      </c>
      <c r="F47" s="67">
        <v>684</v>
      </c>
      <c r="G47" s="79"/>
      <c r="H47" s="79"/>
      <c r="I47" s="79"/>
      <c r="J47" s="79"/>
      <c r="K47" s="79"/>
    </row>
    <row r="48" spans="1:11" outlineLevel="1">
      <c r="A48" s="59" t="s">
        <v>8</v>
      </c>
      <c r="B48" s="59">
        <v>1994</v>
      </c>
      <c r="C48" s="59">
        <v>6523</v>
      </c>
      <c r="D48" s="59">
        <v>13656</v>
      </c>
      <c r="E48" s="59">
        <v>8891</v>
      </c>
      <c r="F48" s="59">
        <v>7076</v>
      </c>
      <c r="G48" s="59">
        <f>G45-G46-G47</f>
        <v>10062.070000000003</v>
      </c>
      <c r="H48" s="59">
        <f>H45-H46-H47</f>
        <v>10363.932100000002</v>
      </c>
      <c r="I48" s="59">
        <f>I45-I46-I47</f>
        <v>10674.850063000007</v>
      </c>
      <c r="J48" s="59">
        <f>J45-J46-J47</f>
        <v>10995.095564890005</v>
      </c>
      <c r="K48" s="59">
        <f>K45-K46-K47</f>
        <v>11324.948431836692</v>
      </c>
    </row>
    <row r="49" spans="1:11" outlineLevel="1">
      <c r="A49" t="s">
        <v>310</v>
      </c>
      <c r="B49" s="67">
        <v>30</v>
      </c>
      <c r="C49" s="67">
        <v>56</v>
      </c>
      <c r="D49" s="67">
        <v>297</v>
      </c>
      <c r="E49" s="67">
        <v>1066</v>
      </c>
      <c r="F49" s="67">
        <v>1569</v>
      </c>
      <c r="G49" s="68">
        <f>G100</f>
        <v>968.33999999999992</v>
      </c>
      <c r="H49" s="68">
        <f t="shared" ref="H49:K49" si="20">H100</f>
        <v>1301.4603885000004</v>
      </c>
      <c r="I49" s="68">
        <f t="shared" si="20"/>
        <v>1351.9004441754003</v>
      </c>
      <c r="J49" s="68">
        <f t="shared" si="20"/>
        <v>1626.5906746196906</v>
      </c>
      <c r="K49" s="68">
        <f t="shared" si="20"/>
        <v>1951.644119880109</v>
      </c>
    </row>
    <row r="50" spans="1:11" outlineLevel="1">
      <c r="A50" t="s">
        <v>311</v>
      </c>
      <c r="B50" s="67">
        <v>-748</v>
      </c>
      <c r="C50" s="67">
        <v>-371</v>
      </c>
      <c r="D50" s="67">
        <v>-191</v>
      </c>
      <c r="E50" s="67">
        <v>-156</v>
      </c>
      <c r="F50" s="67">
        <v>-350</v>
      </c>
      <c r="G50" s="68">
        <f>-G101</f>
        <v>-369.58499999999998</v>
      </c>
      <c r="H50" s="68">
        <f t="shared" ref="H50:K50" si="21">-H101</f>
        <v>-263.7</v>
      </c>
      <c r="I50" s="68">
        <f t="shared" si="21"/>
        <v>-78.48</v>
      </c>
      <c r="J50" s="68">
        <f t="shared" si="21"/>
        <v>-47.024999999999999</v>
      </c>
      <c r="K50" s="68">
        <f t="shared" si="21"/>
        <v>-36.089999999999996</v>
      </c>
    </row>
    <row r="51" spans="1:11" outlineLevel="1">
      <c r="A51" t="s">
        <v>160</v>
      </c>
      <c r="B51" s="67">
        <v>-122</v>
      </c>
      <c r="C51" s="67">
        <v>135</v>
      </c>
      <c r="D51" s="67">
        <v>-43</v>
      </c>
      <c r="E51" s="67">
        <v>172</v>
      </c>
      <c r="F51" s="67">
        <v>695</v>
      </c>
      <c r="G51" s="79"/>
      <c r="H51" s="79"/>
      <c r="I51" s="79"/>
      <c r="J51" s="79"/>
      <c r="K51" s="79"/>
    </row>
    <row r="52" spans="1:11" outlineLevel="1">
      <c r="A52" s="59" t="s">
        <v>9</v>
      </c>
      <c r="B52" s="59">
        <v>1154</v>
      </c>
      <c r="C52" s="59">
        <v>6343</v>
      </c>
      <c r="D52" s="59">
        <v>13719</v>
      </c>
      <c r="E52" s="59">
        <v>9973</v>
      </c>
      <c r="F52" s="59">
        <v>8990</v>
      </c>
      <c r="G52" s="59">
        <f>SUM(G48:G51)</f>
        <v>10660.825000000004</v>
      </c>
      <c r="H52" s="59">
        <f>SUM(H48:H51)</f>
        <v>11401.692488500001</v>
      </c>
      <c r="I52" s="59">
        <f>SUM(I48:I51)</f>
        <v>11948.270507175408</v>
      </c>
      <c r="J52" s="59">
        <f>SUM(J48:J51)</f>
        <v>12574.661239509696</v>
      </c>
      <c r="K52" s="59">
        <f>SUM(K48:K51)</f>
        <v>13240.502551716801</v>
      </c>
    </row>
    <row r="53" spans="1:11" outlineLevel="1">
      <c r="A53" t="s">
        <v>161</v>
      </c>
      <c r="B53" s="67">
        <v>292</v>
      </c>
      <c r="C53" s="67">
        <v>699</v>
      </c>
      <c r="D53" s="67">
        <v>1132</v>
      </c>
      <c r="E53" s="67">
        <v>-5001</v>
      </c>
      <c r="F53" s="67">
        <v>1837</v>
      </c>
      <c r="G53" s="17">
        <f>G124*G52</f>
        <v>1705.7320000000007</v>
      </c>
      <c r="H53" s="17">
        <f>H124*H52</f>
        <v>1824.2707981600001</v>
      </c>
      <c r="I53" s="17">
        <f>I124*I52</f>
        <v>1911.7232811480653</v>
      </c>
      <c r="J53" s="17">
        <f>J124*J52</f>
        <v>2011.9457983215514</v>
      </c>
      <c r="K53" s="17">
        <f>K124*K52</f>
        <v>2118.4804082746882</v>
      </c>
    </row>
    <row r="54" spans="1:11" ht="17" outlineLevel="1" thickBot="1">
      <c r="A54" s="121" t="s">
        <v>10</v>
      </c>
      <c r="B54" s="121">
        <v>862</v>
      </c>
      <c r="C54" s="121">
        <v>5644</v>
      </c>
      <c r="D54" s="121">
        <v>12587</v>
      </c>
      <c r="E54" s="121">
        <v>14974</v>
      </c>
      <c r="F54" s="121">
        <v>7153</v>
      </c>
      <c r="G54" s="121">
        <f>G52-G53</f>
        <v>8955.0930000000044</v>
      </c>
      <c r="H54" s="121">
        <f>H52-H53</f>
        <v>9577.4216903400011</v>
      </c>
      <c r="I54" s="121">
        <f>I52-I53</f>
        <v>10036.547226027342</v>
      </c>
      <c r="J54" s="121">
        <f>J52-J53</f>
        <v>10562.715441188146</v>
      </c>
      <c r="K54" s="121">
        <f>K52-K53</f>
        <v>11122.022143442113</v>
      </c>
    </row>
    <row r="55" spans="1:11" ht="17" outlineLevel="1" thickTop="1"/>
    <row r="56" spans="1:11" outlineLevel="1">
      <c r="A56" s="58" t="s">
        <v>190</v>
      </c>
      <c r="G56" s="96">
        <f>F59</f>
        <v>35209</v>
      </c>
      <c r="H56" s="96">
        <f>G59</f>
        <v>44164.093000000008</v>
      </c>
      <c r="I56" s="96">
        <f>H59</f>
        <v>53741.514690340009</v>
      </c>
      <c r="J56" s="96">
        <f>I59</f>
        <v>63778.061916367355</v>
      </c>
      <c r="K56" s="96">
        <f>J59</f>
        <v>74340.777357555504</v>
      </c>
    </row>
    <row r="57" spans="1:11" outlineLevel="1">
      <c r="A57" s="66" t="s">
        <v>191</v>
      </c>
      <c r="G57" s="68">
        <f>G54</f>
        <v>8955.0930000000044</v>
      </c>
      <c r="H57" s="68">
        <f>H54</f>
        <v>9577.4216903400011</v>
      </c>
      <c r="I57" s="68">
        <f>I54</f>
        <v>10036.547226027342</v>
      </c>
      <c r="J57" s="68">
        <f>J54</f>
        <v>10562.715441188146</v>
      </c>
      <c r="K57" s="68">
        <f>K54</f>
        <v>11122.022143442113</v>
      </c>
    </row>
    <row r="58" spans="1:11" outlineLevel="1">
      <c r="A58" s="66" t="s">
        <v>192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</row>
    <row r="59" spans="1:11" outlineLevel="1">
      <c r="A59" s="1" t="s">
        <v>193</v>
      </c>
      <c r="F59" s="95">
        <f>F28</f>
        <v>35209</v>
      </c>
      <c r="G59" s="95">
        <f>G56+G57-G58</f>
        <v>44164.093000000008</v>
      </c>
      <c r="H59" s="95">
        <f>H56+H57-H58</f>
        <v>53741.514690340009</v>
      </c>
      <c r="I59" s="95">
        <f>I56+I57-I58</f>
        <v>63778.061916367355</v>
      </c>
      <c r="J59" s="95">
        <f>J56+J57-J58</f>
        <v>74340.777357555504</v>
      </c>
      <c r="K59" s="95">
        <f>K56+K57-K58</f>
        <v>85462.799500997615</v>
      </c>
    </row>
    <row r="60" spans="1:11" ht="17" thickBot="1"/>
    <row r="61" spans="1:11" ht="23" thickBot="1">
      <c r="A61" s="155" t="s">
        <v>28</v>
      </c>
      <c r="B61" s="156"/>
      <c r="C61" s="156"/>
      <c r="D61" s="156"/>
      <c r="E61" s="156"/>
      <c r="F61" s="156"/>
      <c r="G61" s="156"/>
      <c r="H61" s="156"/>
      <c r="I61" s="156"/>
      <c r="J61" s="156"/>
      <c r="K61" s="157"/>
    </row>
    <row r="62" spans="1:11" outlineLevel="1">
      <c r="A62" s="1" t="s">
        <v>281</v>
      </c>
      <c r="B62" s="63"/>
      <c r="C62" s="63"/>
      <c r="D62" s="63"/>
      <c r="E62" s="63"/>
      <c r="F62" s="63"/>
      <c r="G62" s="69"/>
      <c r="H62" s="69"/>
      <c r="I62" s="69"/>
      <c r="J62" s="69"/>
      <c r="K62" s="69"/>
    </row>
    <row r="63" spans="1:11" outlineLevel="1">
      <c r="A63" t="s">
        <v>108</v>
      </c>
      <c r="B63" s="63">
        <v>862</v>
      </c>
      <c r="C63" s="63">
        <v>5644</v>
      </c>
      <c r="D63" s="63">
        <v>12587</v>
      </c>
      <c r="E63" s="63">
        <v>14974</v>
      </c>
      <c r="F63" s="63">
        <v>7153</v>
      </c>
      <c r="G63" s="69">
        <f>G54</f>
        <v>8955.0930000000044</v>
      </c>
      <c r="H63" s="69">
        <f>H54</f>
        <v>9577.4216903400011</v>
      </c>
      <c r="I63" s="69">
        <f>I54</f>
        <v>10036.547226027342</v>
      </c>
      <c r="J63" s="69">
        <f>J54</f>
        <v>10562.715441188146</v>
      </c>
      <c r="K63" s="69">
        <f>K54</f>
        <v>11122.022143442113</v>
      </c>
    </row>
    <row r="64" spans="1:11" outlineLevel="1">
      <c r="A64" t="s">
        <v>164</v>
      </c>
      <c r="B64" s="64">
        <v>2322</v>
      </c>
      <c r="C64" s="64">
        <v>2911</v>
      </c>
      <c r="D64" s="64">
        <v>3747</v>
      </c>
      <c r="E64" s="64">
        <v>4667</v>
      </c>
      <c r="F64" s="64">
        <v>5368</v>
      </c>
      <c r="G64" s="68">
        <f>G97</f>
        <v>5534.1385</v>
      </c>
      <c r="H64" s="68">
        <f t="shared" ref="H64:K64" si="22">H97</f>
        <v>5700.1626550000001</v>
      </c>
      <c r="I64" s="68">
        <f t="shared" si="22"/>
        <v>5871.1675346499997</v>
      </c>
      <c r="J64" s="68">
        <f t="shared" si="22"/>
        <v>6047.3025606894998</v>
      </c>
      <c r="K64" s="68">
        <f t="shared" si="22"/>
        <v>6228.7216375101852</v>
      </c>
    </row>
    <row r="65" spans="1:11" outlineLevel="1">
      <c r="A65" t="s">
        <v>165</v>
      </c>
      <c r="B65" s="64">
        <v>2575</v>
      </c>
      <c r="C65" s="64">
        <v>2424</v>
      </c>
      <c r="D65" s="64">
        <v>2102</v>
      </c>
      <c r="E65" s="64">
        <v>-4137</v>
      </c>
      <c r="F65" s="64">
        <v>2321</v>
      </c>
      <c r="G65" s="79"/>
      <c r="H65" s="79"/>
      <c r="I65" s="79"/>
      <c r="J65" s="79"/>
      <c r="K65" s="79"/>
    </row>
    <row r="66" spans="1:11" outlineLevel="1">
      <c r="A66" t="s">
        <v>167</v>
      </c>
      <c r="B66" s="64">
        <v>-652</v>
      </c>
      <c r="C66" s="64">
        <v>-130</v>
      </c>
      <c r="D66" s="64">
        <v>-1124</v>
      </c>
      <c r="E66" s="64">
        <v>-586</v>
      </c>
      <c r="F66" s="64">
        <v>-1083</v>
      </c>
      <c r="G66" s="93">
        <f t="shared" ref="G66:K68" si="23">-(G10-F10)</f>
        <v>292.55130000000008</v>
      </c>
      <c r="H66" s="93">
        <f t="shared" si="23"/>
        <v>-123.76346100000046</v>
      </c>
      <c r="I66" s="93">
        <f t="shared" si="23"/>
        <v>-127.47636482999951</v>
      </c>
      <c r="J66" s="93">
        <f t="shared" si="23"/>
        <v>-131.30065577490041</v>
      </c>
      <c r="K66" s="93">
        <f t="shared" si="23"/>
        <v>-135.23967544814695</v>
      </c>
    </row>
    <row r="67" spans="1:11" outlineLevel="1">
      <c r="A67" t="s">
        <v>166</v>
      </c>
      <c r="B67" s="64">
        <v>-422</v>
      </c>
      <c r="C67" s="64">
        <v>-1709</v>
      </c>
      <c r="D67" s="64">
        <v>-6465</v>
      </c>
      <c r="E67" s="64">
        <v>-1195</v>
      </c>
      <c r="F67" s="64">
        <v>937</v>
      </c>
      <c r="G67" s="93">
        <f t="shared" si="23"/>
        <v>-1944.1221249999981</v>
      </c>
      <c r="H67" s="93">
        <f t="shared" si="23"/>
        <v>-418.83366375000151</v>
      </c>
      <c r="I67" s="93">
        <f t="shared" si="23"/>
        <v>-431.39867366249746</v>
      </c>
      <c r="J67" s="93">
        <f t="shared" si="23"/>
        <v>-444.3406338723762</v>
      </c>
      <c r="K67" s="93">
        <f t="shared" si="23"/>
        <v>-457.67085288855014</v>
      </c>
    </row>
    <row r="68" spans="1:11" outlineLevel="1">
      <c r="A68" t="s">
        <v>169</v>
      </c>
      <c r="B68" s="64">
        <v>-595</v>
      </c>
      <c r="C68" s="64">
        <v>-1562</v>
      </c>
      <c r="D68" s="64">
        <v>-3713</v>
      </c>
      <c r="E68" s="64">
        <v>-2652</v>
      </c>
      <c r="F68" s="64">
        <v>-3273</v>
      </c>
      <c r="G68" s="93">
        <f t="shared" si="23"/>
        <v>1337.172</v>
      </c>
      <c r="H68" s="93">
        <f t="shared" si="23"/>
        <v>-120.74483999999984</v>
      </c>
      <c r="I68" s="93">
        <f t="shared" si="23"/>
        <v>-124.36718519999977</v>
      </c>
      <c r="J68" s="93">
        <f t="shared" si="23"/>
        <v>-128.09820075600055</v>
      </c>
      <c r="K68" s="93">
        <f t="shared" si="23"/>
        <v>-131.94114677868038</v>
      </c>
    </row>
    <row r="69" spans="1:11" outlineLevel="1">
      <c r="A69" t="s">
        <v>170</v>
      </c>
      <c r="B69" s="64">
        <v>2604</v>
      </c>
      <c r="C69" s="64">
        <v>5240</v>
      </c>
      <c r="D69" s="64">
        <v>8029</v>
      </c>
      <c r="E69" s="64">
        <v>2605</v>
      </c>
      <c r="F69" s="64">
        <v>3588</v>
      </c>
      <c r="G69" s="93">
        <f>G19-F19</f>
        <v>197.31274999999732</v>
      </c>
      <c r="H69" s="93">
        <f>H19-G19</f>
        <v>701.82938250000007</v>
      </c>
      <c r="I69" s="93">
        <f>I19-H19</f>
        <v>722.88426397500007</v>
      </c>
      <c r="J69" s="93">
        <f>J19-I19</f>
        <v>744.57079189424985</v>
      </c>
      <c r="K69" s="93">
        <f>K19-J19</f>
        <v>766.90791565108157</v>
      </c>
    </row>
    <row r="70" spans="1:11" outlineLevel="1">
      <c r="A70" t="s">
        <v>168</v>
      </c>
      <c r="B70" s="64">
        <v>-751</v>
      </c>
      <c r="C70" s="64">
        <v>-1321</v>
      </c>
      <c r="D70" s="64">
        <v>-439</v>
      </c>
      <c r="E70" s="64">
        <v>-420</v>
      </c>
      <c r="F70" s="64">
        <v>-88</v>
      </c>
      <c r="G70" s="93">
        <f>(G20-F20)+(G23-F23)</f>
        <v>-1735.9639499999989</v>
      </c>
      <c r="H70" s="93">
        <f>(H20-G20)+(H23-G23)</f>
        <v>457.32108149999885</v>
      </c>
      <c r="I70" s="93">
        <f>(I20-H20)+(I23-H23)</f>
        <v>471.0407139449967</v>
      </c>
      <c r="J70" s="93">
        <f>(J20-I20)+(J23-I23)</f>
        <v>485.17193536335344</v>
      </c>
      <c r="K70" s="93">
        <f>(K20-J20)+(K23-J23)</f>
        <v>499.72709342425333</v>
      </c>
    </row>
    <row r="71" spans="1:11" outlineLevel="1">
      <c r="A71" s="4" t="s">
        <v>179</v>
      </c>
      <c r="B71" s="59">
        <v>5943</v>
      </c>
      <c r="C71" s="59">
        <v>11497</v>
      </c>
      <c r="D71" s="59">
        <v>14724</v>
      </c>
      <c r="E71" s="59">
        <v>13256</v>
      </c>
      <c r="F71" s="59">
        <v>14923</v>
      </c>
      <c r="G71" s="59">
        <f>SUM(G63:G70)</f>
        <v>12636.181475000005</v>
      </c>
      <c r="H71" s="59">
        <f>SUM(H63:H70)</f>
        <v>15773.392844589998</v>
      </c>
      <c r="I71" s="59">
        <f>SUM(I63:I70)</f>
        <v>16418.397514904842</v>
      </c>
      <c r="J71" s="59">
        <f>SUM(J63:J70)</f>
        <v>17136.02123873197</v>
      </c>
      <c r="K71" s="59">
        <f>SUM(K63:K70)</f>
        <v>17892.527114912256</v>
      </c>
    </row>
    <row r="72" spans="1:11" outlineLevel="1">
      <c r="A72" s="1"/>
      <c r="B72" s="86"/>
      <c r="C72" s="86"/>
      <c r="D72" s="86"/>
      <c r="E72" s="86"/>
      <c r="F72" s="86"/>
      <c r="G72" s="86"/>
      <c r="H72" s="86"/>
      <c r="I72" s="86"/>
      <c r="J72" s="86"/>
      <c r="K72" s="86"/>
    </row>
    <row r="73" spans="1:11" outlineLevel="1">
      <c r="A73" s="1" t="s">
        <v>282</v>
      </c>
      <c r="B73" s="86"/>
      <c r="C73" s="86"/>
      <c r="D73" s="86"/>
      <c r="E73" s="86"/>
      <c r="F73" s="86"/>
      <c r="G73" s="86"/>
      <c r="H73" s="86"/>
      <c r="I73" s="86"/>
      <c r="J73" s="86"/>
      <c r="K73" s="86"/>
    </row>
    <row r="74" spans="1:11" outlineLevel="1">
      <c r="A74" t="s">
        <v>171</v>
      </c>
      <c r="B74" s="64">
        <v>-3157</v>
      </c>
      <c r="C74" s="64">
        <v>-6482</v>
      </c>
      <c r="D74" s="64">
        <v>-7158</v>
      </c>
      <c r="E74" s="64">
        <v>-8898</v>
      </c>
      <c r="F74" s="64">
        <v>-11339</v>
      </c>
      <c r="G74" s="68">
        <f>-G114</f>
        <v>-10062.07</v>
      </c>
      <c r="H74" s="68">
        <f t="shared" ref="H74:K74" si="24">-H114</f>
        <v>-10363.9321</v>
      </c>
      <c r="I74" s="68">
        <f t="shared" si="24"/>
        <v>-10674.850063</v>
      </c>
      <c r="J74" s="68">
        <f t="shared" si="24"/>
        <v>-10995.09556489</v>
      </c>
      <c r="K74" s="68">
        <f t="shared" si="24"/>
        <v>-11324.948431836701</v>
      </c>
    </row>
    <row r="75" spans="1:11" outlineLevel="1">
      <c r="A75" t="s">
        <v>172</v>
      </c>
      <c r="B75" s="64">
        <v>25</v>
      </c>
      <c r="C75" s="64">
        <v>-1386</v>
      </c>
      <c r="D75" s="64">
        <v>-4815</v>
      </c>
      <c r="E75" s="64">
        <v>-6686</v>
      </c>
      <c r="F75" s="64">
        <v>-7448</v>
      </c>
      <c r="G75" s="17">
        <f>-(G9-F9)</f>
        <v>5330.8950000000004</v>
      </c>
      <c r="H75" s="17">
        <f>-(H9-G9)</f>
        <v>-452.79314999999951</v>
      </c>
      <c r="I75" s="17">
        <f>-(I9-H9)</f>
        <v>-466.37694449999981</v>
      </c>
      <c r="J75" s="17">
        <f>-(J9-I9)</f>
        <v>-480.3682528349982</v>
      </c>
      <c r="K75" s="17">
        <f>-(K9-J9)</f>
        <v>-494.77930042005391</v>
      </c>
    </row>
    <row r="76" spans="1:11" outlineLevel="1">
      <c r="A76" s="4" t="s">
        <v>180</v>
      </c>
      <c r="B76" s="59">
        <v>-3132</v>
      </c>
      <c r="C76" s="59">
        <v>-7868</v>
      </c>
      <c r="D76" s="59">
        <v>-11973</v>
      </c>
      <c r="E76" s="59">
        <v>-15584</v>
      </c>
      <c r="F76" s="59">
        <v>-18787</v>
      </c>
      <c r="G76" s="59">
        <f>SUM(G74:G75)</f>
        <v>-4731.1749999999993</v>
      </c>
      <c r="H76" s="59">
        <f>SUM(H74:H75)</f>
        <v>-10816.72525</v>
      </c>
      <c r="I76" s="59">
        <f>SUM(I74:I75)</f>
        <v>-11141.2270075</v>
      </c>
      <c r="J76" s="59">
        <f>SUM(J74:J75)</f>
        <v>-11475.463817724998</v>
      </c>
      <c r="K76" s="59">
        <f>SUM(K74:K75)</f>
        <v>-11819.727732256755</v>
      </c>
    </row>
    <row r="77" spans="1:11" outlineLevel="1">
      <c r="A77" s="1"/>
      <c r="B77" s="86"/>
      <c r="C77" s="86"/>
      <c r="D77" s="86"/>
      <c r="E77" s="86"/>
      <c r="F77" s="86"/>
      <c r="G77" s="86"/>
      <c r="H77" s="86"/>
      <c r="I77" s="86"/>
      <c r="J77" s="86"/>
      <c r="K77" s="86"/>
    </row>
    <row r="78" spans="1:11" outlineLevel="1">
      <c r="A78" s="1" t="s">
        <v>283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</row>
    <row r="79" spans="1:11" outlineLevel="1">
      <c r="A79" t="s">
        <v>174</v>
      </c>
      <c r="B79" s="64">
        <v>12269</v>
      </c>
      <c r="C79" s="64">
        <v>0</v>
      </c>
      <c r="D79" s="64">
        <v>0</v>
      </c>
      <c r="E79" s="64">
        <v>0</v>
      </c>
      <c r="F79" s="64">
        <v>0</v>
      </c>
    </row>
    <row r="80" spans="1:11" outlineLevel="1">
      <c r="A80" t="s">
        <v>175</v>
      </c>
      <c r="B80" s="64">
        <v>9713</v>
      </c>
      <c r="C80" s="64">
        <v>8883</v>
      </c>
      <c r="D80" s="64">
        <v>0</v>
      </c>
      <c r="E80" s="64">
        <v>3931</v>
      </c>
      <c r="F80" s="64">
        <v>5744</v>
      </c>
    </row>
    <row r="81" spans="1:11" outlineLevel="1">
      <c r="A81" t="s">
        <v>176</v>
      </c>
      <c r="B81" s="64">
        <v>-12201</v>
      </c>
      <c r="C81" s="64">
        <v>-14615</v>
      </c>
      <c r="D81" s="64">
        <v>-3866</v>
      </c>
      <c r="E81" s="64">
        <v>-1815</v>
      </c>
      <c r="F81" s="64">
        <v>-2881</v>
      </c>
      <c r="G81" s="17">
        <f>G22-F22</f>
        <v>-2353</v>
      </c>
      <c r="H81" s="17">
        <f>H22-G22</f>
        <v>-4116</v>
      </c>
      <c r="I81" s="17">
        <f>I22-H22</f>
        <v>-699</v>
      </c>
      <c r="J81" s="17">
        <f>J22-I22</f>
        <v>-243</v>
      </c>
      <c r="K81" s="17">
        <f>K22-J22</f>
        <v>-95</v>
      </c>
    </row>
    <row r="82" spans="1:11" outlineLevel="1">
      <c r="A82" t="s">
        <v>177</v>
      </c>
      <c r="B82" s="64">
        <v>192</v>
      </c>
      <c r="C82" s="64">
        <v>529</v>
      </c>
      <c r="D82" s="64">
        <v>339</v>
      </c>
      <c r="E82" s="64">
        <v>473</v>
      </c>
      <c r="F82" s="64">
        <v>990</v>
      </c>
    </row>
    <row r="83" spans="1:11" outlineLevel="1">
      <c r="A83" s="4" t="s">
        <v>181</v>
      </c>
      <c r="B83" s="59">
        <v>9973</v>
      </c>
      <c r="C83" s="59">
        <v>-5203</v>
      </c>
      <c r="D83" s="59">
        <v>-3527</v>
      </c>
      <c r="E83" s="59">
        <v>2589</v>
      </c>
      <c r="F83" s="59">
        <v>3853</v>
      </c>
      <c r="G83" s="59">
        <f>SUM(G79:G82)</f>
        <v>-2353</v>
      </c>
      <c r="H83" s="59">
        <f>SUM(H79:H82)</f>
        <v>-4116</v>
      </c>
      <c r="I83" s="59">
        <f>SUM(I79:I82)</f>
        <v>-699</v>
      </c>
      <c r="J83" s="59">
        <f>SUM(J79:J82)</f>
        <v>-243</v>
      </c>
      <c r="K83" s="59">
        <f>SUM(K79:K82)</f>
        <v>-95</v>
      </c>
    </row>
    <row r="84" spans="1:11" outlineLevel="1">
      <c r="A84" t="s">
        <v>178</v>
      </c>
      <c r="B84" s="64">
        <v>334</v>
      </c>
      <c r="C84" s="64">
        <v>-183</v>
      </c>
      <c r="D84" s="64">
        <v>-444</v>
      </c>
      <c r="E84" s="64">
        <v>4</v>
      </c>
      <c r="F84" s="64">
        <v>-141</v>
      </c>
    </row>
    <row r="85" spans="1:11" outlineLevel="1">
      <c r="B85" s="17"/>
      <c r="C85" s="17"/>
      <c r="D85" s="17"/>
      <c r="E85" s="17"/>
      <c r="F85" s="17"/>
    </row>
    <row r="86" spans="1:11" outlineLevel="1">
      <c r="A86" t="s">
        <v>182</v>
      </c>
      <c r="B86" s="17">
        <v>13118</v>
      </c>
      <c r="C86" s="17">
        <v>-1757</v>
      </c>
      <c r="D86" s="17">
        <v>-1220</v>
      </c>
      <c r="E86" s="17">
        <v>265</v>
      </c>
      <c r="F86" s="17">
        <v>-152</v>
      </c>
      <c r="G86" s="17">
        <f>G71+G76+G83</f>
        <v>5552.0064750000056</v>
      </c>
      <c r="H86" s="17">
        <f>H71+H76+H83</f>
        <v>840.66759458999877</v>
      </c>
      <c r="I86" s="17">
        <f>I71+I76+I83</f>
        <v>4578.1705074048423</v>
      </c>
      <c r="J86" s="17">
        <f>J71+J76+J83</f>
        <v>5417.5574210069717</v>
      </c>
      <c r="K86" s="17">
        <f>K71+K76+K83</f>
        <v>5977.7993826555012</v>
      </c>
    </row>
    <row r="87" spans="1:11" outlineLevel="1">
      <c r="B87" s="17"/>
      <c r="C87" s="17"/>
      <c r="D87" s="17"/>
      <c r="E87" s="17"/>
      <c r="F87" s="17"/>
    </row>
    <row r="88" spans="1:11" outlineLevel="1">
      <c r="A88" t="s">
        <v>183</v>
      </c>
      <c r="B88" s="17">
        <v>6783</v>
      </c>
      <c r="C88" s="17">
        <v>19901</v>
      </c>
      <c r="D88" s="17">
        <v>18144</v>
      </c>
      <c r="E88" s="17">
        <v>16924</v>
      </c>
      <c r="F88" s="17">
        <v>17189</v>
      </c>
      <c r="G88" s="69">
        <f>F90</f>
        <v>16139</v>
      </c>
      <c r="H88" s="69">
        <f>G90</f>
        <v>21691.006475000006</v>
      </c>
      <c r="I88" s="69">
        <f>H90</f>
        <v>22531.674069590004</v>
      </c>
      <c r="J88" s="69">
        <f>I90</f>
        <v>27109.844576994845</v>
      </c>
      <c r="K88" s="69">
        <f>J90</f>
        <v>32527.401998001817</v>
      </c>
    </row>
    <row r="89" spans="1:11" outlineLevel="1">
      <c r="A89" t="s">
        <v>182</v>
      </c>
      <c r="B89" s="17">
        <v>13118</v>
      </c>
      <c r="C89" s="17">
        <v>-1757</v>
      </c>
      <c r="D89" s="17">
        <v>-1220</v>
      </c>
      <c r="E89" s="17">
        <v>265</v>
      </c>
      <c r="F89" s="17">
        <v>-152</v>
      </c>
      <c r="G89" s="68">
        <f>G86</f>
        <v>5552.0064750000056</v>
      </c>
      <c r="H89" s="68">
        <f>H86</f>
        <v>840.66759458999877</v>
      </c>
      <c r="I89" s="68">
        <f>I86</f>
        <v>4578.1705074048423</v>
      </c>
      <c r="J89" s="68">
        <f>J86</f>
        <v>5417.5574210069717</v>
      </c>
      <c r="K89" s="68">
        <f>K86</f>
        <v>5977.7993826555012</v>
      </c>
    </row>
    <row r="90" spans="1:11" outlineLevel="1">
      <c r="A90" s="1" t="s">
        <v>184</v>
      </c>
      <c r="B90" s="59">
        <v>19901</v>
      </c>
      <c r="C90" s="59">
        <v>18144</v>
      </c>
      <c r="D90" s="59">
        <v>16924</v>
      </c>
      <c r="E90" s="59">
        <v>17189</v>
      </c>
      <c r="F90" s="95">
        <f>F7</f>
        <v>16139</v>
      </c>
      <c r="G90" s="59">
        <f>SUM(G88:G89)</f>
        <v>21691.006475000006</v>
      </c>
      <c r="H90" s="59">
        <f>SUM(H88:H89)</f>
        <v>22531.674069590004</v>
      </c>
      <c r="I90" s="59">
        <f>SUM(I88:I89)</f>
        <v>27109.844576994845</v>
      </c>
      <c r="J90" s="59">
        <f>SUM(J88:J89)</f>
        <v>32527.401998001817</v>
      </c>
      <c r="K90" s="59">
        <f>SUM(K88:K89)</f>
        <v>38505.201380657316</v>
      </c>
    </row>
    <row r="91" spans="1:11" outlineLevel="1">
      <c r="A91" t="s">
        <v>194</v>
      </c>
      <c r="G91" s="68">
        <f>G7</f>
        <v>17105.519</v>
      </c>
      <c r="H91" s="68">
        <f>H7</f>
        <v>17618.684570000001</v>
      </c>
      <c r="I91" s="68">
        <f>I7</f>
        <v>18147.2451071</v>
      </c>
      <c r="J91" s="68">
        <f>J7</f>
        <v>18691.662460313</v>
      </c>
      <c r="K91" s="68">
        <f>K7</f>
        <v>19252.412334122393</v>
      </c>
    </row>
    <row r="92" spans="1:11" outlineLevel="1">
      <c r="A92" s="1" t="s">
        <v>195</v>
      </c>
      <c r="G92" s="59">
        <f>G90-G91</f>
        <v>4585.4874750000054</v>
      </c>
      <c r="H92" s="59">
        <f>H90-H91</f>
        <v>4912.9894995900031</v>
      </c>
      <c r="I92" s="59">
        <f>I90-I91</f>
        <v>8962.5994698948452</v>
      </c>
      <c r="J92" s="59">
        <f>J90-J91</f>
        <v>13835.739537688816</v>
      </c>
      <c r="K92" s="59">
        <f>K90-K91</f>
        <v>19252.789046534923</v>
      </c>
    </row>
    <row r="93" spans="1:11" ht="17" thickBot="1"/>
    <row r="94" spans="1:11" ht="23" thickBot="1">
      <c r="A94" s="155" t="s">
        <v>196</v>
      </c>
      <c r="B94" s="156"/>
      <c r="C94" s="156"/>
      <c r="D94" s="156"/>
      <c r="E94" s="156"/>
      <c r="F94" s="156"/>
      <c r="G94" s="156"/>
      <c r="H94" s="156"/>
      <c r="I94" s="156"/>
      <c r="J94" s="156"/>
      <c r="K94" s="157"/>
    </row>
    <row r="95" spans="1:11" outlineLevel="1">
      <c r="A95" t="s">
        <v>85</v>
      </c>
      <c r="B95" s="69">
        <f t="shared" ref="B95:F96" si="25">B40</f>
        <v>31536</v>
      </c>
      <c r="C95" s="69">
        <f t="shared" si="25"/>
        <v>53823</v>
      </c>
      <c r="D95" s="69">
        <f t="shared" si="25"/>
        <v>81462</v>
      </c>
      <c r="E95" s="69">
        <f t="shared" si="25"/>
        <v>96773</v>
      </c>
      <c r="F95" s="69">
        <f t="shared" si="25"/>
        <v>97690</v>
      </c>
      <c r="G95" s="91">
        <f>F95*(1+G117)</f>
        <v>100620.7</v>
      </c>
      <c r="H95" s="91">
        <f t="shared" ref="H95:K95" si="26">G95*(1+H117)</f>
        <v>103639.321</v>
      </c>
      <c r="I95" s="91">
        <f t="shared" si="26"/>
        <v>106748.50062999999</v>
      </c>
      <c r="J95" s="91">
        <f t="shared" si="26"/>
        <v>109950.9556489</v>
      </c>
      <c r="K95" s="91">
        <f t="shared" si="26"/>
        <v>113249.484318367</v>
      </c>
    </row>
    <row r="96" spans="1:11" outlineLevel="1">
      <c r="A96" t="s">
        <v>162</v>
      </c>
      <c r="B96" s="68">
        <f t="shared" si="25"/>
        <v>22584</v>
      </c>
      <c r="C96" s="68">
        <f t="shared" si="25"/>
        <v>37306</v>
      </c>
      <c r="D96" s="68">
        <f t="shared" si="25"/>
        <v>56862</v>
      </c>
      <c r="E96" s="68">
        <f t="shared" si="25"/>
        <v>74446</v>
      </c>
      <c r="F96" s="68">
        <f t="shared" si="25"/>
        <v>74872</v>
      </c>
      <c r="G96" s="93">
        <f>G118*G95</f>
        <v>75465.524999999994</v>
      </c>
      <c r="H96" s="93">
        <f t="shared" ref="H96:K96" si="27">H118*H95</f>
        <v>77729.490749999997</v>
      </c>
      <c r="I96" s="93">
        <f t="shared" si="27"/>
        <v>80061.375472499989</v>
      </c>
      <c r="J96" s="93">
        <f t="shared" si="27"/>
        <v>82463.216736674993</v>
      </c>
      <c r="K96" s="93">
        <f t="shared" si="27"/>
        <v>84937.113238775259</v>
      </c>
    </row>
    <row r="97" spans="1:11" outlineLevel="1">
      <c r="A97" t="s">
        <v>164</v>
      </c>
      <c r="B97" s="68">
        <f>B46</f>
        <v>2322</v>
      </c>
      <c r="C97" s="68">
        <f>C46</f>
        <v>2911</v>
      </c>
      <c r="D97" s="68">
        <f>D46</f>
        <v>3747</v>
      </c>
      <c r="E97" s="68">
        <f>E46</f>
        <v>4667</v>
      </c>
      <c r="F97" s="68">
        <f>F46</f>
        <v>5368</v>
      </c>
      <c r="G97" s="93">
        <f>G119*G95</f>
        <v>5534.1385</v>
      </c>
      <c r="H97" s="93">
        <f t="shared" ref="H97:K97" si="28">H119*H95</f>
        <v>5700.1626550000001</v>
      </c>
      <c r="I97" s="93">
        <f t="shared" si="28"/>
        <v>5871.1675346499997</v>
      </c>
      <c r="J97" s="93">
        <f t="shared" si="28"/>
        <v>6047.3025606894998</v>
      </c>
      <c r="K97" s="93">
        <f t="shared" si="28"/>
        <v>6228.7216375101852</v>
      </c>
    </row>
    <row r="98" spans="1:11" outlineLevel="1">
      <c r="A98" t="s">
        <v>157</v>
      </c>
      <c r="B98" s="68">
        <f t="shared" ref="B98:F99" si="29">B43</f>
        <v>1491</v>
      </c>
      <c r="C98" s="68">
        <f t="shared" si="29"/>
        <v>2593</v>
      </c>
      <c r="D98" s="68">
        <f t="shared" si="29"/>
        <v>3075</v>
      </c>
      <c r="E98" s="68">
        <f t="shared" si="29"/>
        <v>3969</v>
      </c>
      <c r="F98" s="68">
        <f t="shared" si="29"/>
        <v>4540</v>
      </c>
      <c r="G98" s="93">
        <f>G120*G95</f>
        <v>4527.9314999999997</v>
      </c>
      <c r="H98" s="93">
        <f t="shared" ref="H98:K98" si="30">H120*H95</f>
        <v>4663.7694449999999</v>
      </c>
      <c r="I98" s="93">
        <f t="shared" si="30"/>
        <v>4803.6825283499993</v>
      </c>
      <c r="J98" s="93">
        <f t="shared" si="30"/>
        <v>4947.7930042005</v>
      </c>
      <c r="K98" s="93">
        <f t="shared" si="30"/>
        <v>5096.2267943265151</v>
      </c>
    </row>
    <row r="99" spans="1:11" outlineLevel="1">
      <c r="A99" t="s">
        <v>158</v>
      </c>
      <c r="B99" s="68">
        <f t="shared" si="29"/>
        <v>3145</v>
      </c>
      <c r="C99" s="68">
        <f t="shared" si="29"/>
        <v>4517</v>
      </c>
      <c r="D99" s="68">
        <f t="shared" si="29"/>
        <v>3946</v>
      </c>
      <c r="E99" s="68">
        <f t="shared" si="29"/>
        <v>4800</v>
      </c>
      <c r="F99" s="68">
        <f t="shared" si="29"/>
        <v>5150</v>
      </c>
      <c r="G99" s="93">
        <f>G121*G95</f>
        <v>5031.0349999999999</v>
      </c>
      <c r="H99" s="93">
        <f t="shared" ref="H99:K99" si="31">H121*H95</f>
        <v>5181.96605</v>
      </c>
      <c r="I99" s="93">
        <f t="shared" si="31"/>
        <v>5337.4250314999999</v>
      </c>
      <c r="J99" s="93">
        <f t="shared" si="31"/>
        <v>5497.5477824449999</v>
      </c>
      <c r="K99" s="93">
        <f t="shared" si="31"/>
        <v>5662.4742159183506</v>
      </c>
    </row>
    <row r="100" spans="1:11" outlineLevel="1">
      <c r="A100" t="s">
        <v>103</v>
      </c>
      <c r="B100" s="68">
        <f>B49</f>
        <v>30</v>
      </c>
      <c r="C100" s="68">
        <f>C49</f>
        <v>56</v>
      </c>
      <c r="D100" s="68">
        <f>D49</f>
        <v>297</v>
      </c>
      <c r="E100" s="68">
        <f>E49</f>
        <v>1066</v>
      </c>
      <c r="F100" s="68">
        <f>F49</f>
        <v>1569</v>
      </c>
      <c r="G100" s="93">
        <f>G122*SUM(F7:F8)</f>
        <v>968.33999999999992</v>
      </c>
      <c r="H100" s="93">
        <f>H122*SUM(G7:G8)</f>
        <v>1301.4603885000004</v>
      </c>
      <c r="I100" s="93">
        <f>I122*SUM(H7:H8)</f>
        <v>1351.9004441754003</v>
      </c>
      <c r="J100" s="93">
        <f>J122*SUM(I7:I8)</f>
        <v>1626.5906746196906</v>
      </c>
      <c r="K100" s="93">
        <f>K122*SUM(J7:J8)</f>
        <v>1951.644119880109</v>
      </c>
    </row>
    <row r="101" spans="1:11" outlineLevel="1">
      <c r="A101" t="s">
        <v>104</v>
      </c>
      <c r="B101" s="68">
        <f>-B50</f>
        <v>748</v>
      </c>
      <c r="C101" s="68">
        <f>-C50</f>
        <v>371</v>
      </c>
      <c r="D101" s="68">
        <f>-D50</f>
        <v>191</v>
      </c>
      <c r="E101" s="68">
        <f>-E50</f>
        <v>156</v>
      </c>
      <c r="F101" s="68">
        <f>-F50</f>
        <v>350</v>
      </c>
      <c r="G101" s="93">
        <f>G123*SUM(F112:F113)</f>
        <v>369.58499999999998</v>
      </c>
      <c r="H101" s="93">
        <f>H123*SUM(G112:G113)</f>
        <v>263.7</v>
      </c>
      <c r="I101" s="93">
        <f>I123*SUM(H112:H113)</f>
        <v>78.48</v>
      </c>
      <c r="J101" s="93">
        <f>J123*SUM(I112:I113)</f>
        <v>47.024999999999999</v>
      </c>
      <c r="K101" s="93">
        <f>K123*SUM(J112:J113)</f>
        <v>36.089999999999996</v>
      </c>
    </row>
    <row r="102" spans="1:11" outlineLevel="1">
      <c r="A102" t="s">
        <v>161</v>
      </c>
      <c r="B102" s="68">
        <f t="shared" ref="B102:K102" si="32">B53</f>
        <v>292</v>
      </c>
      <c r="C102" s="68">
        <f t="shared" si="32"/>
        <v>699</v>
      </c>
      <c r="D102" s="68">
        <f t="shared" si="32"/>
        <v>1132</v>
      </c>
      <c r="E102" s="68">
        <f t="shared" si="32"/>
        <v>-5001</v>
      </c>
      <c r="F102" s="68">
        <f t="shared" si="32"/>
        <v>1837</v>
      </c>
      <c r="G102" s="68">
        <f t="shared" si="32"/>
        <v>1705.7320000000007</v>
      </c>
      <c r="H102" s="68">
        <f t="shared" si="32"/>
        <v>1824.2707981600001</v>
      </c>
      <c r="I102" s="68">
        <f t="shared" si="32"/>
        <v>1911.7232811480653</v>
      </c>
      <c r="J102" s="68">
        <f t="shared" si="32"/>
        <v>2011.9457983215514</v>
      </c>
      <c r="K102" s="68">
        <f t="shared" si="32"/>
        <v>2118.4804082746882</v>
      </c>
    </row>
    <row r="103" spans="1:11" outlineLevel="1">
      <c r="A103" t="s">
        <v>194</v>
      </c>
      <c r="B103" s="69">
        <f>B7</f>
        <v>19384</v>
      </c>
      <c r="C103" s="69">
        <f>C7</f>
        <v>17576</v>
      </c>
      <c r="D103" s="69">
        <f>D7</f>
        <v>16253</v>
      </c>
      <c r="E103" s="69">
        <f>E7</f>
        <v>16398</v>
      </c>
      <c r="F103" s="69">
        <f>F7</f>
        <v>16139</v>
      </c>
      <c r="G103" s="93">
        <f>G95*G125</f>
        <v>17105.519</v>
      </c>
      <c r="H103" s="93">
        <f t="shared" ref="H103:K103" si="33">H95*H125</f>
        <v>17618.684570000001</v>
      </c>
      <c r="I103" s="93">
        <f t="shared" si="33"/>
        <v>18147.2451071</v>
      </c>
      <c r="J103" s="93">
        <f t="shared" si="33"/>
        <v>18691.662460313</v>
      </c>
      <c r="K103" s="93">
        <f t="shared" si="33"/>
        <v>19252.412334122393</v>
      </c>
    </row>
    <row r="104" spans="1:11" outlineLevel="1">
      <c r="A104" t="s">
        <v>13</v>
      </c>
      <c r="B104" s="68">
        <f t="shared" ref="B104:F107" si="34">B9</f>
        <v>0</v>
      </c>
      <c r="C104" s="68">
        <f t="shared" si="34"/>
        <v>131</v>
      </c>
      <c r="D104" s="68">
        <f t="shared" si="34"/>
        <v>5932</v>
      </c>
      <c r="E104" s="68">
        <f t="shared" si="34"/>
        <v>12696</v>
      </c>
      <c r="F104" s="68">
        <f t="shared" si="34"/>
        <v>20424</v>
      </c>
      <c r="G104" s="93">
        <f>G95*G126</f>
        <v>15093.105</v>
      </c>
      <c r="H104" s="93">
        <f t="shared" ref="H104:K104" si="35">H95*H126</f>
        <v>15545.898149999999</v>
      </c>
      <c r="I104" s="93">
        <f t="shared" si="35"/>
        <v>16012.275094499999</v>
      </c>
      <c r="J104" s="93">
        <f t="shared" si="35"/>
        <v>16492.643347334997</v>
      </c>
      <c r="K104" s="93">
        <f t="shared" si="35"/>
        <v>16987.422647755051</v>
      </c>
    </row>
    <row r="105" spans="1:11" outlineLevel="1">
      <c r="A105" t="s">
        <v>49</v>
      </c>
      <c r="B105" s="68">
        <f t="shared" si="34"/>
        <v>1886</v>
      </c>
      <c r="C105" s="68">
        <f t="shared" si="34"/>
        <v>1913</v>
      </c>
      <c r="D105" s="68">
        <f t="shared" si="34"/>
        <v>2952</v>
      </c>
      <c r="E105" s="68">
        <f t="shared" si="34"/>
        <v>3508</v>
      </c>
      <c r="F105" s="68">
        <f t="shared" si="34"/>
        <v>4418</v>
      </c>
      <c r="G105" s="93">
        <f>G127*G95</f>
        <v>4125.4486999999999</v>
      </c>
      <c r="H105" s="93">
        <f t="shared" ref="H105:K105" si="36">H127*H95</f>
        <v>4249.2121610000004</v>
      </c>
      <c r="I105" s="93">
        <f t="shared" si="36"/>
        <v>4376.6885258299999</v>
      </c>
      <c r="J105" s="93">
        <f t="shared" si="36"/>
        <v>4507.9891816049003</v>
      </c>
      <c r="K105" s="93">
        <f t="shared" si="36"/>
        <v>4643.2288570530472</v>
      </c>
    </row>
    <row r="106" spans="1:11" outlineLevel="1">
      <c r="A106" t="s">
        <v>14</v>
      </c>
      <c r="B106" s="68">
        <f t="shared" si="34"/>
        <v>4101</v>
      </c>
      <c r="C106" s="68">
        <f t="shared" si="34"/>
        <v>5757</v>
      </c>
      <c r="D106" s="68">
        <f t="shared" si="34"/>
        <v>12839</v>
      </c>
      <c r="E106" s="68">
        <f t="shared" si="34"/>
        <v>13626</v>
      </c>
      <c r="F106" s="68">
        <f t="shared" si="34"/>
        <v>12017</v>
      </c>
      <c r="G106" s="93">
        <f>G128*G96</f>
        <v>13961.122124999998</v>
      </c>
      <c r="H106" s="93">
        <f t="shared" ref="H106:K106" si="37">H128*H96</f>
        <v>14379.95578875</v>
      </c>
      <c r="I106" s="93">
        <f t="shared" si="37"/>
        <v>14811.354462412497</v>
      </c>
      <c r="J106" s="93">
        <f t="shared" si="37"/>
        <v>15255.695096284873</v>
      </c>
      <c r="K106" s="93">
        <f t="shared" si="37"/>
        <v>15713.365949173423</v>
      </c>
    </row>
    <row r="107" spans="1:11" outlineLevel="1">
      <c r="A107" t="s">
        <v>148</v>
      </c>
      <c r="B107" s="68">
        <f t="shared" si="34"/>
        <v>1346</v>
      </c>
      <c r="C107" s="68">
        <f t="shared" si="34"/>
        <v>1723</v>
      </c>
      <c r="D107" s="68">
        <f t="shared" si="34"/>
        <v>2941</v>
      </c>
      <c r="E107" s="68">
        <f t="shared" si="34"/>
        <v>3388</v>
      </c>
      <c r="F107" s="68">
        <f t="shared" si="34"/>
        <v>5362</v>
      </c>
      <c r="G107" s="93">
        <f>G129*G95</f>
        <v>4024.828</v>
      </c>
      <c r="H107" s="93">
        <f t="shared" ref="H107:K107" si="38">H129*H95</f>
        <v>4145.5728399999998</v>
      </c>
      <c r="I107" s="93">
        <f t="shared" si="38"/>
        <v>4269.9400251999996</v>
      </c>
      <c r="J107" s="93">
        <f t="shared" si="38"/>
        <v>4398.0382259560001</v>
      </c>
      <c r="K107" s="93">
        <f t="shared" si="38"/>
        <v>4529.9793727346805</v>
      </c>
    </row>
    <row r="108" spans="1:11" outlineLevel="1">
      <c r="A108" t="s">
        <v>146</v>
      </c>
      <c r="B108" s="68">
        <f>B15</f>
        <v>12477</v>
      </c>
      <c r="C108" s="68">
        <f>C15</f>
        <v>15947</v>
      </c>
      <c r="D108" s="68">
        <f>D15</f>
        <v>17679</v>
      </c>
      <c r="E108" s="68">
        <f>E15</f>
        <v>27024</v>
      </c>
      <c r="F108" s="68">
        <f>F15</f>
        <v>27630</v>
      </c>
      <c r="G108" s="93">
        <f>G95*G130</f>
        <v>26161.382000000001</v>
      </c>
      <c r="H108" s="93">
        <f t="shared" ref="H108:K108" si="39">H95*H130</f>
        <v>26946.223460000001</v>
      </c>
      <c r="I108" s="93">
        <f t="shared" si="39"/>
        <v>27754.6101638</v>
      </c>
      <c r="J108" s="93">
        <f t="shared" si="39"/>
        <v>28587.248468713999</v>
      </c>
      <c r="K108" s="93">
        <f t="shared" si="39"/>
        <v>29444.865922775421</v>
      </c>
    </row>
    <row r="109" spans="1:11" outlineLevel="1">
      <c r="A109" t="s">
        <v>149</v>
      </c>
      <c r="B109" s="68">
        <f t="shared" ref="B109:F110" si="40">B19</f>
        <v>10658</v>
      </c>
      <c r="C109" s="68">
        <f t="shared" si="40"/>
        <v>16669</v>
      </c>
      <c r="D109" s="68">
        <f t="shared" si="40"/>
        <v>23460</v>
      </c>
      <c r="E109" s="68">
        <f t="shared" si="40"/>
        <v>23511</v>
      </c>
      <c r="F109" s="68">
        <f t="shared" si="40"/>
        <v>23197</v>
      </c>
      <c r="G109" s="93">
        <f>G131*G96</f>
        <v>23394.312749999997</v>
      </c>
      <c r="H109" s="93">
        <f t="shared" ref="H109:K109" si="41">H131*H96</f>
        <v>24096.142132499997</v>
      </c>
      <c r="I109" s="93">
        <f t="shared" si="41"/>
        <v>24819.026396474997</v>
      </c>
      <c r="J109" s="93">
        <f t="shared" si="41"/>
        <v>25563.597188369247</v>
      </c>
      <c r="K109" s="93">
        <f t="shared" si="41"/>
        <v>26330.505104020329</v>
      </c>
    </row>
    <row r="110" spans="1:11" outlineLevel="1">
      <c r="A110" t="s">
        <v>263</v>
      </c>
      <c r="B110" s="68">
        <f t="shared" si="40"/>
        <v>1458</v>
      </c>
      <c r="C110" s="68">
        <f t="shared" si="40"/>
        <v>1447</v>
      </c>
      <c r="D110" s="68">
        <f t="shared" si="40"/>
        <v>1747</v>
      </c>
      <c r="E110" s="68">
        <f t="shared" si="40"/>
        <v>2864</v>
      </c>
      <c r="F110" s="68">
        <f t="shared" si="40"/>
        <v>3168</v>
      </c>
      <c r="G110" s="93">
        <f>G95*G132</f>
        <v>3018.6209999999996</v>
      </c>
      <c r="H110" s="93">
        <f t="shared" ref="H110:K110" si="42">H95*H132</f>
        <v>3109.1796299999996</v>
      </c>
      <c r="I110" s="93">
        <f t="shared" si="42"/>
        <v>3202.4550188999997</v>
      </c>
      <c r="J110" s="93">
        <f t="shared" si="42"/>
        <v>3298.5286694669999</v>
      </c>
      <c r="K110" s="93">
        <f t="shared" si="42"/>
        <v>3397.4845295510099</v>
      </c>
    </row>
    <row r="111" spans="1:11" outlineLevel="1">
      <c r="A111" t="s">
        <v>264</v>
      </c>
      <c r="B111" s="68">
        <f>B23</f>
        <v>4614</v>
      </c>
      <c r="C111" s="68">
        <f>C23</f>
        <v>5598</v>
      </c>
      <c r="D111" s="68">
        <f>D23</f>
        <v>8134</v>
      </c>
      <c r="E111" s="68">
        <f>E23</f>
        <v>11404</v>
      </c>
      <c r="F111" s="68">
        <f>F23</f>
        <v>13812</v>
      </c>
      <c r="G111" s="93">
        <f>SUM(G96:G99)*G133</f>
        <v>12225.415050000001</v>
      </c>
      <c r="H111" s="93">
        <f t="shared" ref="H111:K111" si="43">SUM(H96:H99)*H133</f>
        <v>12592.1775015</v>
      </c>
      <c r="I111" s="93">
        <f t="shared" si="43"/>
        <v>12969.942826544997</v>
      </c>
      <c r="J111" s="93">
        <f t="shared" si="43"/>
        <v>13359.04111134135</v>
      </c>
      <c r="K111" s="93">
        <f t="shared" si="43"/>
        <v>13759.812344681593</v>
      </c>
    </row>
    <row r="112" spans="1:11" outlineLevel="1">
      <c r="A112" t="s">
        <v>197</v>
      </c>
      <c r="B112" s="68"/>
      <c r="C112" s="68"/>
      <c r="D112" s="68"/>
      <c r="E112" s="68"/>
      <c r="F112" s="68"/>
      <c r="G112" s="92"/>
      <c r="H112" s="92"/>
      <c r="I112" s="92"/>
      <c r="J112" s="92"/>
      <c r="K112" s="92"/>
    </row>
    <row r="113" spans="1:11" outlineLevel="1">
      <c r="A113" t="s">
        <v>150</v>
      </c>
      <c r="B113" s="68">
        <f>B22</f>
        <v>11739</v>
      </c>
      <c r="C113" s="68">
        <f>C22</f>
        <v>6834</v>
      </c>
      <c r="D113" s="68">
        <f>D22</f>
        <v>3099</v>
      </c>
      <c r="E113" s="68">
        <f>E22</f>
        <v>5230</v>
      </c>
      <c r="F113" s="68">
        <f>F22</f>
        <v>8213</v>
      </c>
      <c r="G113" s="93">
        <f>F113+G134</f>
        <v>5860</v>
      </c>
      <c r="H113" s="93">
        <f>G113+H134</f>
        <v>1744</v>
      </c>
      <c r="I113" s="93">
        <f>H113+I134</f>
        <v>1045</v>
      </c>
      <c r="J113" s="93">
        <f>I113+J134</f>
        <v>802</v>
      </c>
      <c r="K113" s="93">
        <f>J113+K134</f>
        <v>707</v>
      </c>
    </row>
    <row r="114" spans="1:11" outlineLevel="1">
      <c r="A114" t="s">
        <v>171</v>
      </c>
      <c r="B114" s="68">
        <f>-B74</f>
        <v>3157</v>
      </c>
      <c r="C114" s="68">
        <f>-C74</f>
        <v>6482</v>
      </c>
      <c r="D114" s="68">
        <f>-D74</f>
        <v>7158</v>
      </c>
      <c r="E114" s="68">
        <f>-E74</f>
        <v>8898</v>
      </c>
      <c r="F114" s="68">
        <f>-F74</f>
        <v>11339</v>
      </c>
      <c r="G114" s="93">
        <f>G95*G135</f>
        <v>10062.07</v>
      </c>
      <c r="H114" s="93">
        <f>H95*H135</f>
        <v>10363.9321</v>
      </c>
      <c r="I114" s="93">
        <f>I95*I135</f>
        <v>10674.850063</v>
      </c>
      <c r="J114" s="93">
        <f>J95*J135</f>
        <v>10995.09556489</v>
      </c>
      <c r="K114" s="93">
        <f>K95*K135</f>
        <v>11324.948431836701</v>
      </c>
    </row>
    <row r="115" spans="1:11" ht="17" thickBot="1"/>
    <row r="116" spans="1:11" ht="23" thickBot="1">
      <c r="A116" s="155" t="s">
        <v>198</v>
      </c>
      <c r="B116" s="156"/>
      <c r="C116" s="156"/>
      <c r="D116" s="156"/>
      <c r="E116" s="156"/>
      <c r="F116" s="156"/>
      <c r="G116" s="156"/>
      <c r="H116" s="156"/>
      <c r="I116" s="156"/>
      <c r="J116" s="156"/>
      <c r="K116" s="157"/>
    </row>
    <row r="117" spans="1:11" outlineLevel="1">
      <c r="A117" t="s">
        <v>285</v>
      </c>
      <c r="B117" s="10"/>
      <c r="C117" s="10">
        <f>C95/B95-1</f>
        <v>0.70671613394216126</v>
      </c>
      <c r="D117" s="10">
        <f t="shared" ref="D117:F117" si="44">D95/C95-1</f>
        <v>0.51351652639206291</v>
      </c>
      <c r="E117" s="10">
        <f t="shared" si="44"/>
        <v>0.18795266504627928</v>
      </c>
      <c r="F117" s="10">
        <f t="shared" si="44"/>
        <v>9.4757835346634955E-3</v>
      </c>
      <c r="G117" s="10">
        <f>CHOOSE($G$4,H140,I140,J140)</f>
        <v>0.03</v>
      </c>
      <c r="H117" s="78">
        <f t="shared" ref="H117:H123" si="45">G117</f>
        <v>0.03</v>
      </c>
      <c r="I117" s="78">
        <f t="shared" ref="I117:K117" si="46">H117</f>
        <v>0.03</v>
      </c>
      <c r="J117" s="78">
        <f t="shared" si="46"/>
        <v>0.03</v>
      </c>
      <c r="K117" s="78">
        <f t="shared" si="46"/>
        <v>0.03</v>
      </c>
    </row>
    <row r="118" spans="1:11" outlineLevel="1">
      <c r="A118" t="s">
        <v>286</v>
      </c>
      <c r="B118" s="10">
        <f>B96/B95</f>
        <v>0.71613394216133941</v>
      </c>
      <c r="C118" s="10">
        <f t="shared" ref="C118:F118" si="47">C96/C95</f>
        <v>0.69312375750143995</v>
      </c>
      <c r="D118" s="10">
        <f t="shared" si="47"/>
        <v>0.69801870810930244</v>
      </c>
      <c r="E118" s="10">
        <f t="shared" si="47"/>
        <v>0.76928482117946118</v>
      </c>
      <c r="F118" s="10">
        <f t="shared" si="47"/>
        <v>0.76642440372607223</v>
      </c>
      <c r="G118" s="10">
        <f>CHOOSE($G$4,H141,I141,J141)</f>
        <v>0.75</v>
      </c>
      <c r="H118" s="78">
        <f t="shared" si="45"/>
        <v>0.75</v>
      </c>
      <c r="I118" s="78">
        <f t="shared" ref="I118:K118" si="48">H118</f>
        <v>0.75</v>
      </c>
      <c r="J118" s="78">
        <f t="shared" si="48"/>
        <v>0.75</v>
      </c>
      <c r="K118" s="78">
        <f t="shared" si="48"/>
        <v>0.75</v>
      </c>
    </row>
    <row r="119" spans="1:11" outlineLevel="1">
      <c r="A119" t="s">
        <v>287</v>
      </c>
      <c r="B119" s="10">
        <f>B97/B95</f>
        <v>7.3630136986301373E-2</v>
      </c>
      <c r="C119" s="10">
        <f t="shared" ref="C119:F119" si="49">C97/C95</f>
        <v>5.4084684985972541E-2</v>
      </c>
      <c r="D119" s="10">
        <f t="shared" si="49"/>
        <v>4.5996906533107458E-2</v>
      </c>
      <c r="E119" s="10">
        <f t="shared" si="49"/>
        <v>4.822626145722464E-2</v>
      </c>
      <c r="F119" s="10">
        <f t="shared" si="49"/>
        <v>5.4949329511720747E-2</v>
      </c>
      <c r="G119" s="10">
        <f>CHOOSE($G$4,H142,I142,J142)</f>
        <v>5.5E-2</v>
      </c>
      <c r="H119" s="78">
        <f t="shared" si="45"/>
        <v>5.5E-2</v>
      </c>
      <c r="I119" s="78">
        <f t="shared" ref="I119:K119" si="50">H119</f>
        <v>5.5E-2</v>
      </c>
      <c r="J119" s="78">
        <f t="shared" si="50"/>
        <v>5.5E-2</v>
      </c>
      <c r="K119" s="78">
        <f t="shared" si="50"/>
        <v>5.5E-2</v>
      </c>
    </row>
    <row r="120" spans="1:11" outlineLevel="1">
      <c r="A120" t="s">
        <v>288</v>
      </c>
      <c r="B120" s="10">
        <f>B98/B95</f>
        <v>4.7279299847792999E-2</v>
      </c>
      <c r="C120" s="10">
        <f t="shared" ref="C120:F120" si="51">C98/C95</f>
        <v>4.817643015067908E-2</v>
      </c>
      <c r="D120" s="10">
        <f t="shared" si="51"/>
        <v>3.7747661486337188E-2</v>
      </c>
      <c r="E120" s="10">
        <f t="shared" si="51"/>
        <v>4.1013505833238609E-2</v>
      </c>
      <c r="F120" s="10">
        <f t="shared" si="51"/>
        <v>4.6473538745009722E-2</v>
      </c>
      <c r="G120" s="10">
        <f>CHOOSE($G$4,H143,I143,J143)</f>
        <v>4.4999999999999998E-2</v>
      </c>
      <c r="H120" s="78">
        <f t="shared" si="45"/>
        <v>4.4999999999999998E-2</v>
      </c>
      <c r="I120" s="78">
        <f t="shared" ref="I120:K120" si="52">H120</f>
        <v>4.4999999999999998E-2</v>
      </c>
      <c r="J120" s="78">
        <f t="shared" si="52"/>
        <v>4.4999999999999998E-2</v>
      </c>
      <c r="K120" s="78">
        <f t="shared" si="52"/>
        <v>4.4999999999999998E-2</v>
      </c>
    </row>
    <row r="121" spans="1:11" outlineLevel="1">
      <c r="A121" t="s">
        <v>289</v>
      </c>
      <c r="B121" s="10">
        <f>B99/B95</f>
        <v>9.9727295788939629E-2</v>
      </c>
      <c r="C121" s="10">
        <f t="shared" ref="C121:F121" si="53">C99/C95</f>
        <v>8.3923229845976624E-2</v>
      </c>
      <c r="D121" s="10">
        <f t="shared" si="53"/>
        <v>4.8439763325231394E-2</v>
      </c>
      <c r="E121" s="10">
        <f t="shared" si="53"/>
        <v>4.9600611740878139E-2</v>
      </c>
      <c r="F121" s="10">
        <f t="shared" si="53"/>
        <v>5.2717780734977994E-2</v>
      </c>
      <c r="G121" s="10">
        <f>CHOOSE($G$4,H144,I144,J144)</f>
        <v>0.05</v>
      </c>
      <c r="H121" s="78">
        <f t="shared" si="45"/>
        <v>0.05</v>
      </c>
      <c r="I121" s="78">
        <f t="shared" ref="I121:K121" si="54">H121</f>
        <v>0.05</v>
      </c>
      <c r="J121" s="78">
        <f t="shared" si="54"/>
        <v>0.05</v>
      </c>
      <c r="K121" s="78">
        <f t="shared" si="54"/>
        <v>0.05</v>
      </c>
    </row>
    <row r="122" spans="1:11" outlineLevel="1">
      <c r="A122" t="s">
        <v>200</v>
      </c>
      <c r="B122" s="10"/>
      <c r="C122" s="10">
        <f>C100/AVERAGE(B103:C103)</f>
        <v>3.0303030303030303E-3</v>
      </c>
      <c r="D122" s="10">
        <f t="shared" ref="D122" si="55">D100/AVERAGE(C103:D103)</f>
        <v>1.755889916935174E-2</v>
      </c>
      <c r="E122" s="10">
        <f>E100/AVERAGE(D103:E103)</f>
        <v>6.5296621849254236E-2</v>
      </c>
      <c r="F122" s="10">
        <f>F100/AVERAGE(E103:F103)</f>
        <v>9.6444048314226885E-2</v>
      </c>
      <c r="G122" s="74">
        <v>0.06</v>
      </c>
      <c r="H122" s="78">
        <f t="shared" si="45"/>
        <v>0.06</v>
      </c>
      <c r="I122" s="78">
        <f t="shared" ref="I122:K122" si="56">H122</f>
        <v>0.06</v>
      </c>
      <c r="J122" s="78">
        <f t="shared" si="56"/>
        <v>0.06</v>
      </c>
      <c r="K122" s="78">
        <f t="shared" si="56"/>
        <v>0.06</v>
      </c>
    </row>
    <row r="123" spans="1:11" outlineLevel="1">
      <c r="A123" t="s">
        <v>201</v>
      </c>
      <c r="B123" s="10"/>
      <c r="C123" s="10">
        <f>C101/AVERAGE(B22:C22)</f>
        <v>3.9950465729822859E-2</v>
      </c>
      <c r="D123" s="10">
        <f>D101/AVERAGE(C22:D22)</f>
        <v>3.8457666364643109E-2</v>
      </c>
      <c r="E123" s="10">
        <f>E101/AVERAGE(D22:E22)</f>
        <v>3.7459478929043104E-2</v>
      </c>
      <c r="F123" s="10">
        <f>F101/AVERAGE(E22:F22)</f>
        <v>5.2071710183738747E-2</v>
      </c>
      <c r="G123" s="10">
        <f>CHOOSE($G$4,H145,I145,J145)</f>
        <v>4.4999999999999998E-2</v>
      </c>
      <c r="H123" s="78">
        <f t="shared" si="45"/>
        <v>4.4999999999999998E-2</v>
      </c>
      <c r="I123" s="78">
        <f t="shared" ref="I123:K123" si="57">H123</f>
        <v>4.4999999999999998E-2</v>
      </c>
      <c r="J123" s="78">
        <f t="shared" si="57"/>
        <v>4.4999999999999998E-2</v>
      </c>
      <c r="K123" s="78">
        <f t="shared" si="57"/>
        <v>4.4999999999999998E-2</v>
      </c>
    </row>
    <row r="124" spans="1:11" outlineLevel="1">
      <c r="A124" t="s">
        <v>202</v>
      </c>
      <c r="B124" s="10">
        <f>B53/B52</f>
        <v>0.2530329289428076</v>
      </c>
      <c r="C124" s="10">
        <f>C53/C52</f>
        <v>0.11020022071574964</v>
      </c>
      <c r="D124" s="10">
        <f>D53/D52</f>
        <v>8.2513302718857054E-2</v>
      </c>
      <c r="E124" s="10">
        <f>E53/E52</f>
        <v>-0.50145392559911761</v>
      </c>
      <c r="F124" s="10">
        <f>F53/F52</f>
        <v>0.20433815350389323</v>
      </c>
      <c r="G124" s="10">
        <f>CHOOSE($G$4,H146,I146,J146)</f>
        <v>0.16</v>
      </c>
      <c r="H124" s="78">
        <f t="shared" ref="H124:K133" si="58">G124</f>
        <v>0.16</v>
      </c>
      <c r="I124" s="78">
        <f t="shared" si="58"/>
        <v>0.16</v>
      </c>
      <c r="J124" s="78">
        <f t="shared" si="58"/>
        <v>0.16</v>
      </c>
      <c r="K124" s="78">
        <f t="shared" si="58"/>
        <v>0.16</v>
      </c>
    </row>
    <row r="125" spans="1:11" outlineLevel="1">
      <c r="A125" t="s">
        <v>290</v>
      </c>
      <c r="B125" s="10">
        <f>B103/B95</f>
        <v>0.61466260781329274</v>
      </c>
      <c r="C125" s="10">
        <f t="shared" ref="C125:F125" si="59">C103/C95</f>
        <v>0.32655184586515057</v>
      </c>
      <c r="D125" s="10">
        <f t="shared" si="59"/>
        <v>0.19951633890648401</v>
      </c>
      <c r="E125" s="10">
        <f t="shared" si="59"/>
        <v>0.16944808985977494</v>
      </c>
      <c r="F125" s="10">
        <f t="shared" si="59"/>
        <v>0.16520626471491454</v>
      </c>
      <c r="G125" s="74">
        <v>0.17</v>
      </c>
      <c r="H125" s="78">
        <f t="shared" si="58"/>
        <v>0.17</v>
      </c>
      <c r="I125" s="78">
        <f t="shared" si="58"/>
        <v>0.17</v>
      </c>
      <c r="J125" s="78">
        <f t="shared" si="58"/>
        <v>0.17</v>
      </c>
      <c r="K125" s="78">
        <f t="shared" si="58"/>
        <v>0.17</v>
      </c>
    </row>
    <row r="126" spans="1:11" outlineLevel="1">
      <c r="A126" t="s">
        <v>291</v>
      </c>
      <c r="B126" s="10">
        <f>B104/B95</f>
        <v>0</v>
      </c>
      <c r="C126" s="10">
        <f t="shared" ref="C126:F126" si="60">C104/C95</f>
        <v>2.4339037214573694E-3</v>
      </c>
      <c r="D126" s="10">
        <f t="shared" si="60"/>
        <v>7.2819228597382823E-2</v>
      </c>
      <c r="E126" s="10">
        <f t="shared" si="60"/>
        <v>0.13119361805462268</v>
      </c>
      <c r="F126" s="10">
        <f t="shared" si="60"/>
        <v>0.20906950557887194</v>
      </c>
      <c r="G126" s="74">
        <v>0.15</v>
      </c>
      <c r="H126" s="78">
        <f>G126</f>
        <v>0.15</v>
      </c>
      <c r="I126" s="78">
        <f t="shared" si="58"/>
        <v>0.15</v>
      </c>
      <c r="J126" s="78">
        <f t="shared" si="58"/>
        <v>0.15</v>
      </c>
      <c r="K126" s="78">
        <f t="shared" si="58"/>
        <v>0.15</v>
      </c>
    </row>
    <row r="127" spans="1:11" outlineLevel="1">
      <c r="A127" t="s">
        <v>292</v>
      </c>
      <c r="B127" s="10">
        <f>B105/B95</f>
        <v>5.9804667681380007E-2</v>
      </c>
      <c r="C127" s="10">
        <f t="shared" ref="C127:F127" si="61">C105/C95</f>
        <v>3.5542426100366016E-2</v>
      </c>
      <c r="D127" s="10">
        <f t="shared" si="61"/>
        <v>3.62377550268837E-2</v>
      </c>
      <c r="E127" s="10">
        <f t="shared" si="61"/>
        <v>3.6249780413958439E-2</v>
      </c>
      <c r="F127" s="10">
        <f t="shared" si="61"/>
        <v>4.5224690347016074E-2</v>
      </c>
      <c r="G127" s="74">
        <v>4.1000000000000002E-2</v>
      </c>
      <c r="H127" s="78">
        <f t="shared" si="58"/>
        <v>4.1000000000000002E-2</v>
      </c>
      <c r="I127" s="78">
        <f t="shared" si="58"/>
        <v>4.1000000000000002E-2</v>
      </c>
      <c r="J127" s="78">
        <f t="shared" si="58"/>
        <v>4.1000000000000002E-2</v>
      </c>
      <c r="K127" s="78">
        <f t="shared" si="58"/>
        <v>4.1000000000000002E-2</v>
      </c>
    </row>
    <row r="128" spans="1:11" outlineLevel="1">
      <c r="A128" t="s">
        <v>293</v>
      </c>
      <c r="B128" s="10">
        <f>B106/B96</f>
        <v>0.18158873538788523</v>
      </c>
      <c r="C128" s="10">
        <f t="shared" ref="C128:F128" si="62">C106/C96</f>
        <v>0.15431834021337051</v>
      </c>
      <c r="D128" s="10">
        <f t="shared" si="62"/>
        <v>0.22579226900214555</v>
      </c>
      <c r="E128" s="10">
        <f t="shared" si="62"/>
        <v>0.18303199634634501</v>
      </c>
      <c r="F128" s="10">
        <f t="shared" si="62"/>
        <v>0.16050058766962283</v>
      </c>
      <c r="G128" s="74">
        <v>0.185</v>
      </c>
      <c r="H128" s="78">
        <f t="shared" si="58"/>
        <v>0.185</v>
      </c>
      <c r="I128" s="78">
        <f t="shared" si="58"/>
        <v>0.185</v>
      </c>
      <c r="J128" s="78">
        <f t="shared" si="58"/>
        <v>0.185</v>
      </c>
      <c r="K128" s="78">
        <f t="shared" si="58"/>
        <v>0.185</v>
      </c>
    </row>
    <row r="129" spans="1:11" outlineLevel="1">
      <c r="A129" t="s">
        <v>294</v>
      </c>
      <c r="B129" s="10">
        <f>B107/B95</f>
        <v>4.2681380010147131E-2</v>
      </c>
      <c r="C129" s="10">
        <f t="shared" ref="C129:F129" si="63">C107/C95</f>
        <v>3.2012336733366779E-2</v>
      </c>
      <c r="D129" s="10">
        <f t="shared" si="63"/>
        <v>3.6102722741891927E-2</v>
      </c>
      <c r="E129" s="10">
        <f t="shared" si="63"/>
        <v>3.5009765120436485E-2</v>
      </c>
      <c r="F129" s="10">
        <f t="shared" si="63"/>
        <v>5.4887910738048933E-2</v>
      </c>
      <c r="G129" s="74">
        <v>0.04</v>
      </c>
      <c r="H129" s="78">
        <f t="shared" si="58"/>
        <v>0.04</v>
      </c>
      <c r="I129" s="78">
        <f t="shared" si="58"/>
        <v>0.04</v>
      </c>
      <c r="J129" s="78">
        <f t="shared" si="58"/>
        <v>0.04</v>
      </c>
      <c r="K129" s="78">
        <f t="shared" si="58"/>
        <v>0.04</v>
      </c>
    </row>
    <row r="130" spans="1:11" outlineLevel="1">
      <c r="A130" t="s">
        <v>295</v>
      </c>
      <c r="B130" s="10">
        <f>B108/B95</f>
        <v>0.39564307458143072</v>
      </c>
      <c r="C130" s="10">
        <f t="shared" ref="C130:F130" si="64">C108/C95</f>
        <v>0.29628597439756238</v>
      </c>
      <c r="D130" s="10">
        <f t="shared" si="64"/>
        <v>0.21702143330632687</v>
      </c>
      <c r="E130" s="10">
        <f t="shared" si="64"/>
        <v>0.27925144410114389</v>
      </c>
      <c r="F130" s="10">
        <f t="shared" si="64"/>
        <v>0.28283345275872657</v>
      </c>
      <c r="G130" s="74">
        <v>0.26</v>
      </c>
      <c r="H130" s="78">
        <f t="shared" si="58"/>
        <v>0.26</v>
      </c>
      <c r="I130" s="78">
        <f t="shared" si="58"/>
        <v>0.26</v>
      </c>
      <c r="J130" s="78">
        <f t="shared" si="58"/>
        <v>0.26</v>
      </c>
      <c r="K130" s="78">
        <f t="shared" si="58"/>
        <v>0.26</v>
      </c>
    </row>
    <row r="131" spans="1:11" outlineLevel="1">
      <c r="A131" t="s">
        <v>296</v>
      </c>
      <c r="B131" s="10">
        <f>B109/B96</f>
        <v>0.47192702798441377</v>
      </c>
      <c r="C131" s="10">
        <f t="shared" ref="C131:F131" si="65">C109/C96</f>
        <v>0.4468182061866724</v>
      </c>
      <c r="D131" s="10">
        <f t="shared" si="65"/>
        <v>0.41257781998522741</v>
      </c>
      <c r="E131" s="10">
        <f t="shared" si="65"/>
        <v>0.31581280391156008</v>
      </c>
      <c r="F131" s="10">
        <f t="shared" si="65"/>
        <v>0.30982209637781816</v>
      </c>
      <c r="G131" s="74">
        <v>0.31</v>
      </c>
      <c r="H131" s="78">
        <f t="shared" si="58"/>
        <v>0.31</v>
      </c>
      <c r="I131" s="78">
        <f t="shared" si="58"/>
        <v>0.31</v>
      </c>
      <c r="J131" s="78">
        <f t="shared" si="58"/>
        <v>0.31</v>
      </c>
      <c r="K131" s="78">
        <f t="shared" si="58"/>
        <v>0.31</v>
      </c>
    </row>
    <row r="132" spans="1:11" outlineLevel="1">
      <c r="A132" t="s">
        <v>297</v>
      </c>
      <c r="B132" s="10">
        <f>B110/B95</f>
        <v>4.6232876712328765E-2</v>
      </c>
      <c r="C132" s="10">
        <f t="shared" ref="C132:F132" si="66">C110/C95</f>
        <v>2.6884417442357356E-2</v>
      </c>
      <c r="D132" s="10">
        <f t="shared" si="66"/>
        <v>2.1445581989148314E-2</v>
      </c>
      <c r="E132" s="10">
        <f t="shared" si="66"/>
        <v>2.9595031672057289E-2</v>
      </c>
      <c r="F132" s="10">
        <f t="shared" si="66"/>
        <v>3.2429112498720443E-2</v>
      </c>
      <c r="G132" s="74">
        <v>0.03</v>
      </c>
      <c r="H132" s="78">
        <f t="shared" si="58"/>
        <v>0.03</v>
      </c>
      <c r="I132" s="78">
        <f t="shared" si="58"/>
        <v>0.03</v>
      </c>
      <c r="J132" s="78">
        <f t="shared" si="58"/>
        <v>0.03</v>
      </c>
      <c r="K132" s="78">
        <f t="shared" si="58"/>
        <v>0.03</v>
      </c>
    </row>
    <row r="133" spans="1:11" outlineLevel="1">
      <c r="A133" t="s">
        <v>298</v>
      </c>
      <c r="B133" s="10">
        <f>B111/SUM(B96:B99)</f>
        <v>0.15618441540857084</v>
      </c>
      <c r="C133" s="10">
        <f t="shared" ref="C133:F133" si="67">C111/SUM(C96:C99)</f>
        <v>0.11828343229023602</v>
      </c>
      <c r="D133" s="10">
        <f t="shared" si="67"/>
        <v>0.12027206860860565</v>
      </c>
      <c r="E133" s="10">
        <f t="shared" si="67"/>
        <v>0.12976491204114607</v>
      </c>
      <c r="F133" s="10">
        <f t="shared" si="67"/>
        <v>0.15358612253975315</v>
      </c>
      <c r="G133" s="74">
        <v>0.13500000000000001</v>
      </c>
      <c r="H133" s="78">
        <f t="shared" si="58"/>
        <v>0.13500000000000001</v>
      </c>
      <c r="I133" s="78">
        <f t="shared" si="58"/>
        <v>0.13500000000000001</v>
      </c>
      <c r="J133" s="78">
        <f t="shared" si="58"/>
        <v>0.13500000000000001</v>
      </c>
      <c r="K133" s="78">
        <f t="shared" si="58"/>
        <v>0.13500000000000001</v>
      </c>
    </row>
    <row r="134" spans="1:11" outlineLevel="1">
      <c r="A134" t="s">
        <v>203</v>
      </c>
      <c r="B134" s="68">
        <f>B81</f>
        <v>-12201</v>
      </c>
      <c r="C134" s="68">
        <f>C81</f>
        <v>-14615</v>
      </c>
      <c r="D134" s="68">
        <f>D81</f>
        <v>-3866</v>
      </c>
      <c r="E134" s="68">
        <f>E81</f>
        <v>-1815</v>
      </c>
      <c r="F134" s="68">
        <f>F81</f>
        <v>-2881</v>
      </c>
      <c r="G134" s="64">
        <v>-2353</v>
      </c>
      <c r="H134" s="64">
        <v>-4116</v>
      </c>
      <c r="I134" s="64">
        <v>-699</v>
      </c>
      <c r="J134" s="64">
        <v>-243</v>
      </c>
      <c r="K134" s="64">
        <v>-95</v>
      </c>
    </row>
    <row r="135" spans="1:11" outlineLevel="1">
      <c r="A135" t="s">
        <v>299</v>
      </c>
      <c r="B135" s="10">
        <f>B114/B95</f>
        <v>0.1001078132927448</v>
      </c>
      <c r="C135" s="10">
        <f>C114/C95</f>
        <v>0.12043178566783717</v>
      </c>
      <c r="D135" s="10">
        <f>D114/D95</f>
        <v>8.7869190542829781E-2</v>
      </c>
      <c r="E135" s="10">
        <f>E114/E95</f>
        <v>9.1947134014652848E-2</v>
      </c>
      <c r="F135" s="10">
        <f>F114/F95</f>
        <v>0.11607124577745931</v>
      </c>
      <c r="G135" s="10">
        <f>CHOOSE($G$4,H147,I147,J147)</f>
        <v>0.1</v>
      </c>
      <c r="H135" s="78">
        <f>G135</f>
        <v>0.1</v>
      </c>
      <c r="I135" s="78">
        <f t="shared" ref="I135:K135" si="68">H135</f>
        <v>0.1</v>
      </c>
      <c r="J135" s="78">
        <f t="shared" si="68"/>
        <v>0.1</v>
      </c>
      <c r="K135" s="78">
        <f t="shared" si="68"/>
        <v>0.1</v>
      </c>
    </row>
    <row r="136" spans="1:11" ht="17" thickBot="1"/>
    <row r="137" spans="1:11" ht="23" thickBot="1">
      <c r="A137" s="158" t="s">
        <v>204</v>
      </c>
      <c r="B137" s="166"/>
      <c r="C137" s="166"/>
      <c r="D137" s="166"/>
      <c r="E137" s="166"/>
      <c r="F137" s="166"/>
      <c r="G137" s="159"/>
      <c r="H137" s="160" t="s">
        <v>205</v>
      </c>
      <c r="I137" s="161"/>
      <c r="J137" s="162"/>
    </row>
    <row r="138" spans="1:11" ht="17" outlineLevel="1" thickBot="1">
      <c r="A138" t="s">
        <v>221</v>
      </c>
      <c r="B138" s="81">
        <v>3.7650000000000003E-2</v>
      </c>
      <c r="H138" s="73" t="s">
        <v>206</v>
      </c>
      <c r="I138" s="73" t="s">
        <v>207</v>
      </c>
      <c r="J138" s="73" t="s">
        <v>208</v>
      </c>
    </row>
    <row r="139" spans="1:11" ht="17" outlineLevel="1" thickBot="1">
      <c r="A139" t="s">
        <v>222</v>
      </c>
      <c r="B139" s="80">
        <v>1.8</v>
      </c>
      <c r="H139" s="47" t="s">
        <v>209</v>
      </c>
      <c r="I139" s="47" t="s">
        <v>210</v>
      </c>
      <c r="J139" s="71" t="s">
        <v>211</v>
      </c>
    </row>
    <row r="140" spans="1:11" outlineLevel="1">
      <c r="A140" t="s">
        <v>223</v>
      </c>
      <c r="B140" s="81">
        <v>3.7699999999999997E-2</v>
      </c>
      <c r="F140" t="s">
        <v>199</v>
      </c>
      <c r="H140" s="74">
        <v>0.01</v>
      </c>
      <c r="I140" s="74">
        <v>0.03</v>
      </c>
      <c r="J140" s="74">
        <v>0.05</v>
      </c>
    </row>
    <row r="141" spans="1:11" outlineLevel="1">
      <c r="A141" s="88" t="s">
        <v>224</v>
      </c>
      <c r="B141" s="87">
        <f>B138+B139*B140</f>
        <v>0.10551000000000001</v>
      </c>
      <c r="F141" t="s">
        <v>212</v>
      </c>
      <c r="H141" s="74">
        <v>0.76</v>
      </c>
      <c r="I141" s="74">
        <v>0.75</v>
      </c>
      <c r="J141" s="74">
        <v>0.74</v>
      </c>
    </row>
    <row r="142" spans="1:11" outlineLevel="1">
      <c r="A142" s="13" t="s">
        <v>225</v>
      </c>
      <c r="B142" s="82">
        <f>B138+1.2%</f>
        <v>4.965E-2</v>
      </c>
      <c r="F142" t="s">
        <v>213</v>
      </c>
      <c r="H142" s="74">
        <v>4.4999999999999998E-2</v>
      </c>
      <c r="I142" s="74">
        <v>5.5E-2</v>
      </c>
      <c r="J142" s="74">
        <v>6.5000000000000002E-2</v>
      </c>
    </row>
    <row r="143" spans="1:11" outlineLevel="1">
      <c r="A143" t="s">
        <v>202</v>
      </c>
      <c r="B143" s="81">
        <v>0.21</v>
      </c>
      <c r="F143" t="s">
        <v>214</v>
      </c>
      <c r="H143" s="74">
        <v>0.05</v>
      </c>
      <c r="I143" s="74">
        <v>4.4999999999999998E-2</v>
      </c>
      <c r="J143" s="74">
        <v>0.04</v>
      </c>
    </row>
    <row r="144" spans="1:11" outlineLevel="1">
      <c r="A144" s="88" t="s">
        <v>239</v>
      </c>
      <c r="B144" s="87">
        <f>B142*(1-B143)</f>
        <v>3.9223500000000001E-2</v>
      </c>
      <c r="F144" t="s">
        <v>215</v>
      </c>
      <c r="H144" s="74">
        <v>5.5E-2</v>
      </c>
      <c r="I144" s="74">
        <v>0.05</v>
      </c>
      <c r="J144" s="74">
        <v>4.4999999999999998E-2</v>
      </c>
    </row>
    <row r="145" spans="1:11" outlineLevel="1">
      <c r="A145" t="s">
        <v>226</v>
      </c>
      <c r="B145" s="83">
        <f>B151/B152</f>
        <v>4.9868457133479364E-3</v>
      </c>
      <c r="F145" t="s">
        <v>216</v>
      </c>
      <c r="H145" s="74">
        <v>0.05</v>
      </c>
      <c r="I145" s="74">
        <v>4.4999999999999998E-2</v>
      </c>
      <c r="J145" s="74">
        <v>0.04</v>
      </c>
    </row>
    <row r="146" spans="1:11" outlineLevel="1">
      <c r="A146" t="s">
        <v>227</v>
      </c>
      <c r="B146" s="83">
        <f>B150/B152</f>
        <v>0.99501315428665205</v>
      </c>
      <c r="F146" t="s">
        <v>202</v>
      </c>
      <c r="H146" s="74">
        <v>0.21</v>
      </c>
      <c r="I146" s="74">
        <v>0.16</v>
      </c>
      <c r="J146" s="74">
        <v>0.13</v>
      </c>
    </row>
    <row r="147" spans="1:11" outlineLevel="1">
      <c r="A147" s="88" t="s">
        <v>228</v>
      </c>
      <c r="B147" s="87">
        <f>B141*B146+B144*B145</f>
        <v>0.10517943945162217</v>
      </c>
      <c r="F147" t="s">
        <v>217</v>
      </c>
      <c r="H147" s="74">
        <v>0.11</v>
      </c>
      <c r="I147" s="74">
        <v>0.1</v>
      </c>
      <c r="J147" s="74">
        <v>0.09</v>
      </c>
    </row>
    <row r="148" spans="1:11" outlineLevel="1">
      <c r="A148" t="s">
        <v>229</v>
      </c>
      <c r="B148" s="85">
        <v>462.07</v>
      </c>
    </row>
    <row r="149" spans="1:11" outlineLevel="1">
      <c r="A149" t="s">
        <v>230</v>
      </c>
      <c r="B149" s="64">
        <v>3325.8191670000001</v>
      </c>
    </row>
    <row r="150" spans="1:11" outlineLevel="1">
      <c r="A150" t="s">
        <v>237</v>
      </c>
      <c r="B150" s="62">
        <f>B148*B149</f>
        <v>1536761.26249569</v>
      </c>
    </row>
    <row r="151" spans="1:11" outlineLevel="1">
      <c r="A151" t="s">
        <v>238</v>
      </c>
      <c r="B151" s="93">
        <f>1924+5778</f>
        <v>7702</v>
      </c>
    </row>
    <row r="152" spans="1:11" outlineLevel="1">
      <c r="A152" s="88" t="s">
        <v>231</v>
      </c>
      <c r="B152" s="59">
        <f>SUM(B150:B151)</f>
        <v>1544463.26249569</v>
      </c>
    </row>
    <row r="153" spans="1:11" outlineLevel="1">
      <c r="A153" t="s">
        <v>232</v>
      </c>
      <c r="B153" s="64">
        <v>45</v>
      </c>
    </row>
    <row r="154" spans="1:11" outlineLevel="1">
      <c r="A154" t="s">
        <v>233</v>
      </c>
      <c r="B154" s="64">
        <v>0</v>
      </c>
    </row>
    <row r="155" spans="1:11" outlineLevel="1">
      <c r="A155" t="s">
        <v>234</v>
      </c>
      <c r="B155" s="63">
        <v>18289</v>
      </c>
    </row>
    <row r="156" spans="1:11" outlineLevel="1">
      <c r="A156" t="s">
        <v>235</v>
      </c>
      <c r="B156" s="90">
        <v>0.03</v>
      </c>
      <c r="C156" t="s">
        <v>241</v>
      </c>
    </row>
    <row r="157" spans="1:11" outlineLevel="1">
      <c r="A157" t="s">
        <v>236</v>
      </c>
      <c r="B157" s="89">
        <v>120</v>
      </c>
      <c r="C157" t="s">
        <v>240</v>
      </c>
    </row>
    <row r="158" spans="1:11" ht="17" thickBot="1"/>
    <row r="159" spans="1:11" ht="23" thickBot="1">
      <c r="A159" s="155" t="s">
        <v>242</v>
      </c>
      <c r="B159" s="156"/>
      <c r="C159" s="156"/>
      <c r="D159" s="156"/>
      <c r="E159" s="156"/>
      <c r="F159" s="156"/>
      <c r="G159" s="156"/>
      <c r="H159" s="156"/>
      <c r="I159" s="156"/>
      <c r="J159" s="156"/>
      <c r="K159" s="157"/>
    </row>
    <row r="160" spans="1:11" outlineLevel="1">
      <c r="A160" s="1" t="s">
        <v>163</v>
      </c>
      <c r="G160" s="69">
        <f t="shared" ref="G160:K161" si="69">G45</f>
        <v>15596.208500000004</v>
      </c>
      <c r="H160" s="69">
        <f t="shared" si="69"/>
        <v>16064.094755000002</v>
      </c>
      <c r="I160" s="69">
        <f t="shared" si="69"/>
        <v>16546.017597650007</v>
      </c>
      <c r="J160" s="69">
        <f t="shared" si="69"/>
        <v>17042.398125579504</v>
      </c>
      <c r="K160" s="69">
        <f t="shared" si="69"/>
        <v>17553.670069346877</v>
      </c>
    </row>
    <row r="161" spans="1:11" outlineLevel="1">
      <c r="A161" t="s">
        <v>164</v>
      </c>
      <c r="G161" s="99">
        <f t="shared" si="69"/>
        <v>5534.1385</v>
      </c>
      <c r="H161" s="99">
        <f t="shared" si="69"/>
        <v>5700.1626550000001</v>
      </c>
      <c r="I161" s="99">
        <f t="shared" si="69"/>
        <v>5871.1675346499997</v>
      </c>
      <c r="J161" s="99">
        <f t="shared" si="69"/>
        <v>6047.3025606894998</v>
      </c>
      <c r="K161" s="99">
        <f t="shared" si="69"/>
        <v>6228.7216375101852</v>
      </c>
    </row>
    <row r="162" spans="1:11" outlineLevel="1">
      <c r="A162" s="1" t="s">
        <v>251</v>
      </c>
      <c r="G162" s="86">
        <f>G160-G161</f>
        <v>10062.070000000003</v>
      </c>
      <c r="H162" s="86">
        <f t="shared" ref="H162:K162" si="70">H160-H161</f>
        <v>10363.932100000002</v>
      </c>
      <c r="I162" s="86">
        <f t="shared" si="70"/>
        <v>10674.850063000007</v>
      </c>
      <c r="J162" s="86">
        <f t="shared" si="70"/>
        <v>10995.095564890005</v>
      </c>
      <c r="K162" s="86">
        <f t="shared" si="70"/>
        <v>11324.948431836692</v>
      </c>
    </row>
    <row r="163" spans="1:11" outlineLevel="1">
      <c r="A163" t="s">
        <v>243</v>
      </c>
      <c r="G163" s="68">
        <f>G53</f>
        <v>1705.7320000000007</v>
      </c>
      <c r="H163" s="68">
        <f>H53</f>
        <v>1824.2707981600001</v>
      </c>
      <c r="I163" s="68">
        <f>I53</f>
        <v>1911.7232811480653</v>
      </c>
      <c r="J163" s="68">
        <f>J53</f>
        <v>2011.9457983215514</v>
      </c>
      <c r="K163" s="68">
        <f>K53</f>
        <v>2118.4804082746882</v>
      </c>
    </row>
    <row r="164" spans="1:11" outlineLevel="1">
      <c r="A164" s="1" t="s">
        <v>244</v>
      </c>
      <c r="G164" s="59">
        <f>G162-G163</f>
        <v>8356.3380000000034</v>
      </c>
      <c r="H164" s="59">
        <f t="shared" ref="H164:K164" si="71">H162-H163</f>
        <v>8539.6613018400021</v>
      </c>
      <c r="I164" s="59">
        <f t="shared" si="71"/>
        <v>8763.1267818519409</v>
      </c>
      <c r="J164" s="59">
        <f t="shared" si="71"/>
        <v>8983.1497665684547</v>
      </c>
      <c r="K164" s="59">
        <f t="shared" si="71"/>
        <v>9206.4680235620035</v>
      </c>
    </row>
    <row r="165" spans="1:11" outlineLevel="1">
      <c r="A165" t="s">
        <v>245</v>
      </c>
      <c r="G165" s="68">
        <f>G161</f>
        <v>5534.1385</v>
      </c>
      <c r="H165" s="68">
        <f t="shared" ref="H165:K165" si="72">H161</f>
        <v>5700.1626550000001</v>
      </c>
      <c r="I165" s="68">
        <f t="shared" si="72"/>
        <v>5871.1675346499997</v>
      </c>
      <c r="J165" s="68">
        <f t="shared" si="72"/>
        <v>6047.3025606894998</v>
      </c>
      <c r="K165" s="68">
        <f t="shared" si="72"/>
        <v>6228.7216375101852</v>
      </c>
    </row>
    <row r="166" spans="1:11" outlineLevel="1">
      <c r="A166" t="s">
        <v>167</v>
      </c>
      <c r="G166" s="68">
        <f t="shared" ref="G166:K170" si="73">G66</f>
        <v>292.55130000000008</v>
      </c>
      <c r="H166" s="68">
        <f t="shared" si="73"/>
        <v>-123.76346100000046</v>
      </c>
      <c r="I166" s="68">
        <f t="shared" si="73"/>
        <v>-127.47636482999951</v>
      </c>
      <c r="J166" s="68">
        <f t="shared" si="73"/>
        <v>-131.30065577490041</v>
      </c>
      <c r="K166" s="68">
        <f t="shared" si="73"/>
        <v>-135.23967544814695</v>
      </c>
    </row>
    <row r="167" spans="1:11" outlineLevel="1">
      <c r="A167" t="s">
        <v>166</v>
      </c>
      <c r="G167" s="68">
        <f t="shared" si="73"/>
        <v>-1944.1221249999981</v>
      </c>
      <c r="H167" s="68">
        <f t="shared" si="73"/>
        <v>-418.83366375000151</v>
      </c>
      <c r="I167" s="68">
        <f t="shared" si="73"/>
        <v>-431.39867366249746</v>
      </c>
      <c r="J167" s="68">
        <f t="shared" si="73"/>
        <v>-444.3406338723762</v>
      </c>
      <c r="K167" s="68">
        <f t="shared" si="73"/>
        <v>-457.67085288855014</v>
      </c>
    </row>
    <row r="168" spans="1:11" outlineLevel="1">
      <c r="A168" t="s">
        <v>169</v>
      </c>
      <c r="G168" s="68">
        <f t="shared" si="73"/>
        <v>1337.172</v>
      </c>
      <c r="H168" s="68">
        <f t="shared" si="73"/>
        <v>-120.74483999999984</v>
      </c>
      <c r="I168" s="68">
        <f t="shared" si="73"/>
        <v>-124.36718519999977</v>
      </c>
      <c r="J168" s="68">
        <f t="shared" si="73"/>
        <v>-128.09820075600055</v>
      </c>
      <c r="K168" s="68">
        <f t="shared" si="73"/>
        <v>-131.94114677868038</v>
      </c>
    </row>
    <row r="169" spans="1:11" outlineLevel="1">
      <c r="A169" t="s">
        <v>170</v>
      </c>
      <c r="G169" s="68">
        <f t="shared" si="73"/>
        <v>197.31274999999732</v>
      </c>
      <c r="H169" s="68">
        <f t="shared" si="73"/>
        <v>701.82938250000007</v>
      </c>
      <c r="I169" s="68">
        <f t="shared" si="73"/>
        <v>722.88426397500007</v>
      </c>
      <c r="J169" s="68">
        <f t="shared" si="73"/>
        <v>744.57079189424985</v>
      </c>
      <c r="K169" s="68">
        <f t="shared" si="73"/>
        <v>766.90791565108157</v>
      </c>
    </row>
    <row r="170" spans="1:11" outlineLevel="1">
      <c r="A170" t="s">
        <v>168</v>
      </c>
      <c r="G170" s="68">
        <f t="shared" si="73"/>
        <v>-1735.9639499999989</v>
      </c>
      <c r="H170" s="68">
        <f t="shared" si="73"/>
        <v>457.32108149999885</v>
      </c>
      <c r="I170" s="68">
        <f t="shared" si="73"/>
        <v>471.0407139449967</v>
      </c>
      <c r="J170" s="68">
        <f t="shared" si="73"/>
        <v>485.17193536335344</v>
      </c>
      <c r="K170" s="68">
        <f t="shared" si="73"/>
        <v>499.72709342425333</v>
      </c>
    </row>
    <row r="171" spans="1:11" outlineLevel="1">
      <c r="A171" t="s">
        <v>171</v>
      </c>
      <c r="G171" s="68">
        <f>G74</f>
        <v>-10062.07</v>
      </c>
      <c r="H171" s="68">
        <f>H74</f>
        <v>-10363.9321</v>
      </c>
      <c r="I171" s="68">
        <f>I74</f>
        <v>-10674.850063</v>
      </c>
      <c r="J171" s="68">
        <f>J74</f>
        <v>-10995.09556489</v>
      </c>
      <c r="K171" s="68">
        <f>K74</f>
        <v>-11324.948431836701</v>
      </c>
    </row>
    <row r="172" spans="1:11" outlineLevel="1">
      <c r="A172" s="1" t="s">
        <v>246</v>
      </c>
      <c r="G172" s="59">
        <f>SUM(G164:G171)</f>
        <v>1975.3564750000041</v>
      </c>
      <c r="H172" s="59">
        <f t="shared" ref="H172:K172" si="74">SUM(H164:H171)</f>
        <v>4371.7003560899993</v>
      </c>
      <c r="I172" s="59">
        <f t="shared" si="74"/>
        <v>4470.1270077294412</v>
      </c>
      <c r="J172" s="59">
        <f t="shared" si="74"/>
        <v>4561.3599992222789</v>
      </c>
      <c r="K172" s="59">
        <f t="shared" si="74"/>
        <v>4652.0245631954458</v>
      </c>
    </row>
    <row r="173" spans="1:11" outlineLevel="1">
      <c r="A173" t="s">
        <v>247</v>
      </c>
      <c r="K173" s="93">
        <f>B157*K160</f>
        <v>2106440.4083216251</v>
      </c>
    </row>
    <row r="174" spans="1:11" outlineLevel="1">
      <c r="A174" s="1" t="s">
        <v>248</v>
      </c>
      <c r="G174" s="59">
        <f>SUM(G172:G173)</f>
        <v>1975.3564750000041</v>
      </c>
      <c r="H174" s="59">
        <f t="shared" ref="H174:K174" si="75">SUM(H172:H173)</f>
        <v>4371.7003560899993</v>
      </c>
      <c r="I174" s="59">
        <f t="shared" si="75"/>
        <v>4470.1270077294412</v>
      </c>
      <c r="J174" s="59">
        <f t="shared" si="75"/>
        <v>4561.3599992222789</v>
      </c>
      <c r="K174" s="59">
        <f t="shared" si="75"/>
        <v>2111092.4328848207</v>
      </c>
    </row>
    <row r="175" spans="1:11" outlineLevel="1">
      <c r="A175" t="s">
        <v>249</v>
      </c>
      <c r="G175" s="70">
        <f>1/(1+$B$147)^G3</f>
        <v>0.90483044137718394</v>
      </c>
      <c r="H175" s="70">
        <f>1/(1+$B$147)^H3</f>
        <v>0.81871812764282947</v>
      </c>
      <c r="I175" s="70">
        <f>1/(1+$B$147)^I3</f>
        <v>0.7408010847985631</v>
      </c>
      <c r="J175" s="70">
        <f>1/(1+$B$147)^J3</f>
        <v>0.67029937253098049</v>
      </c>
      <c r="K175" s="70">
        <f>1/(1+$B$147)^K3</f>
        <v>0.60650727710205654</v>
      </c>
    </row>
    <row r="176" spans="1:11" outlineLevel="1">
      <c r="A176" s="1" t="s">
        <v>250</v>
      </c>
      <c r="G176" s="59">
        <f>G174*G175</f>
        <v>1787.3626711515319</v>
      </c>
      <c r="H176" s="59">
        <f t="shared" ref="H176:K176" si="76">H174*H175</f>
        <v>3579.1903301534953</v>
      </c>
      <c r="I176" s="59">
        <f t="shared" si="76"/>
        <v>3311.4749365133248</v>
      </c>
      <c r="J176" s="59">
        <f t="shared" si="76"/>
        <v>3057.4767453666072</v>
      </c>
      <c r="K176" s="59">
        <f t="shared" si="76"/>
        <v>1280392.9231797287</v>
      </c>
    </row>
    <row r="177" spans="1:14" outlineLevel="1"/>
    <row r="178" spans="1:14" outlineLevel="1">
      <c r="A178" s="1" t="s">
        <v>252</v>
      </c>
      <c r="B178" s="62">
        <f>SUM(G176:K176)</f>
        <v>1292128.4278629136</v>
      </c>
    </row>
    <row r="179" spans="1:14" outlineLevel="1">
      <c r="A179" t="s">
        <v>253</v>
      </c>
      <c r="B179" s="68">
        <f>B151</f>
        <v>7702</v>
      </c>
    </row>
    <row r="180" spans="1:14" outlineLevel="1">
      <c r="A180" s="13" t="s">
        <v>254</v>
      </c>
      <c r="B180" s="69">
        <f>+B155</f>
        <v>18289</v>
      </c>
    </row>
    <row r="181" spans="1:14" outlineLevel="1">
      <c r="A181" s="13" t="s">
        <v>255</v>
      </c>
      <c r="B181" s="68">
        <f>B153</f>
        <v>45</v>
      </c>
    </row>
    <row r="182" spans="1:14" outlineLevel="1">
      <c r="A182" s="13" t="s">
        <v>256</v>
      </c>
      <c r="B182" s="68">
        <f>B154</f>
        <v>0</v>
      </c>
    </row>
    <row r="183" spans="1:14" outlineLevel="1">
      <c r="A183" s="1" t="s">
        <v>257</v>
      </c>
      <c r="B183" s="59">
        <f>B178-B179+B180-B181+B182</f>
        <v>1302670.4278629136</v>
      </c>
    </row>
    <row r="184" spans="1:14" outlineLevel="1">
      <c r="A184" s="13" t="s">
        <v>258</v>
      </c>
      <c r="B184" s="17">
        <f>B149</f>
        <v>3325.8191670000001</v>
      </c>
    </row>
    <row r="185" spans="1:14" outlineLevel="1">
      <c r="A185" s="1" t="s">
        <v>259</v>
      </c>
      <c r="B185" s="102">
        <f>B183/B184</f>
        <v>391.68408216191915</v>
      </c>
    </row>
    <row r="186" spans="1:14" outlineLevel="1">
      <c r="A186" s="13" t="s">
        <v>260</v>
      </c>
      <c r="B186" s="84">
        <f>B148</f>
        <v>462.07</v>
      </c>
    </row>
    <row r="187" spans="1:14" outlineLevel="1">
      <c r="A187" s="72" t="s">
        <v>261</v>
      </c>
      <c r="B187" s="103">
        <f>B186/B185-1</f>
        <v>0.17970073598493563</v>
      </c>
    </row>
    <row r="188" spans="1:14" outlineLevel="1">
      <c r="A188" s="13" t="s">
        <v>265</v>
      </c>
      <c r="B188" s="8" t="str">
        <f>IF(B187&lt;-0.2, "BUY", IF(B187&gt;0,"SELL","HOLD"))</f>
        <v>SELL</v>
      </c>
    </row>
    <row r="189" spans="1:14" ht="17" thickBot="1"/>
    <row r="190" spans="1:14" ht="23" thickBot="1">
      <c r="A190" s="155" t="s">
        <v>266</v>
      </c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7"/>
    </row>
    <row r="191" spans="1:14" outlineLevel="1"/>
    <row r="192" spans="1:14" outlineLevel="1">
      <c r="B192" s="1" t="s">
        <v>267</v>
      </c>
      <c r="G192" s="30" t="s">
        <v>268</v>
      </c>
      <c r="I192" s="1" t="s">
        <v>267</v>
      </c>
      <c r="N192" s="30" t="s">
        <v>268</v>
      </c>
    </row>
    <row r="193" spans="1:14" outlineLevel="1">
      <c r="B193" s="108">
        <f>B185</f>
        <v>391.68408216191915</v>
      </c>
      <c r="C193" s="104">
        <f>D193-1%</f>
        <v>9.9999999999999967E-3</v>
      </c>
      <c r="D193" s="104">
        <f>E193-1%</f>
        <v>1.9999999999999997E-2</v>
      </c>
      <c r="E193" s="105">
        <v>0.03</v>
      </c>
      <c r="F193" s="104">
        <f>E193+1%</f>
        <v>0.04</v>
      </c>
      <c r="G193" s="104">
        <f>F193+1%</f>
        <v>0.05</v>
      </c>
      <c r="I193" s="108"/>
      <c r="J193" s="104">
        <f>K193-1%</f>
        <v>9.9999999999999967E-3</v>
      </c>
      <c r="K193" s="104">
        <f>L193-1%</f>
        <v>1.9999999999999997E-2</v>
      </c>
      <c r="L193" s="105">
        <v>0.03</v>
      </c>
      <c r="M193" s="104">
        <f>L193+1%</f>
        <v>0.04</v>
      </c>
      <c r="N193" s="104">
        <f>M193+1%</f>
        <v>0.05</v>
      </c>
    </row>
    <row r="194" spans="1:14" outlineLevel="1">
      <c r="B194" s="107">
        <f>B195+1%</f>
        <v>0.12</v>
      </c>
      <c r="C194" s="111">
        <f t="dataTable" ref="C194:G198" dt2D="1" dtr="1" r1="G117" r2="G135"/>
        <v>352.95366302622364</v>
      </c>
      <c r="D194" s="111">
        <v>370.7893427755908</v>
      </c>
      <c r="E194" s="112">
        <v>389.33673289073351</v>
      </c>
      <c r="F194" s="112">
        <v>408.6169488859602</v>
      </c>
      <c r="G194" s="112">
        <v>428.65152003421468</v>
      </c>
      <c r="I194" s="107">
        <f>I195+1%</f>
        <v>0.12</v>
      </c>
      <c r="J194" s="110">
        <f>$B$186/C194-1</f>
        <v>0.30915201740141529</v>
      </c>
      <c r="K194" s="110">
        <f t="shared" ref="K194:N194" si="77">$B$186/D194-1</f>
        <v>0.24617929021669349</v>
      </c>
      <c r="L194" s="113">
        <f t="shared" si="77"/>
        <v>0.18681326719223001</v>
      </c>
      <c r="M194" s="113">
        <f t="shared" si="77"/>
        <v>0.13081457159271648</v>
      </c>
      <c r="N194" s="113">
        <f t="shared" si="77"/>
        <v>7.7961883730443438E-2</v>
      </c>
    </row>
    <row r="195" spans="1:14" outlineLevel="1">
      <c r="B195" s="107">
        <f>B196+1%</f>
        <v>0.11</v>
      </c>
      <c r="C195" s="111">
        <v>354.06341253878497</v>
      </c>
      <c r="D195" s="111">
        <v>371.93065503677201</v>
      </c>
      <c r="E195" s="112">
        <v>390.51040752632628</v>
      </c>
      <c r="F195" s="112">
        <v>409.82380283704498</v>
      </c>
      <c r="G195" s="112">
        <v>429.89238782419727</v>
      </c>
      <c r="I195" s="107">
        <f>I196+1%</f>
        <v>0.11</v>
      </c>
      <c r="J195" s="110">
        <f t="shared" ref="J195:J198" si="78">$B$186/C195-1</f>
        <v>0.30504871058763716</v>
      </c>
      <c r="K195" s="110">
        <f t="shared" ref="K195:K198" si="79">$B$186/D195-1</f>
        <v>0.24235524483540116</v>
      </c>
      <c r="L195" s="113">
        <f t="shared" ref="L195:L198" si="80">$B$186/E195-1</f>
        <v>0.1832463132723281</v>
      </c>
      <c r="M195" s="113">
        <f t="shared" ref="M195:M198" si="81">$B$186/F195-1</f>
        <v>0.12748453555229267</v>
      </c>
      <c r="N195" s="113">
        <f t="shared" ref="N195:N198" si="82">$B$186/G195-1</f>
        <v>7.4850388346400898E-2</v>
      </c>
    </row>
    <row r="196" spans="1:14" outlineLevel="1">
      <c r="B196" s="106">
        <v>0.1</v>
      </c>
      <c r="C196" s="111">
        <v>355.17316205134642</v>
      </c>
      <c r="D196" s="111">
        <v>373.07196729795317</v>
      </c>
      <c r="E196" s="112">
        <v>391.68408216191915</v>
      </c>
      <c r="F196" s="112">
        <v>411.03065678812993</v>
      </c>
      <c r="G196" s="112">
        <v>431.13325561417986</v>
      </c>
      <c r="I196" s="106">
        <v>0.1</v>
      </c>
      <c r="J196" s="110">
        <f t="shared" si="78"/>
        <v>0.30097104559155796</v>
      </c>
      <c r="K196" s="110">
        <f t="shared" si="79"/>
        <v>0.23855459670859891</v>
      </c>
      <c r="L196" s="113">
        <f t="shared" si="80"/>
        <v>0.17970073598493563</v>
      </c>
      <c r="M196" s="113">
        <f t="shared" si="81"/>
        <v>0.12417405458439768</v>
      </c>
      <c r="N196" s="113">
        <f t="shared" si="82"/>
        <v>7.1756803686481074E-2</v>
      </c>
    </row>
    <row r="197" spans="1:14" outlineLevel="1">
      <c r="B197" s="107">
        <f>B196-1%</f>
        <v>9.0000000000000011E-2</v>
      </c>
      <c r="C197" s="111">
        <v>356.28291156390776</v>
      </c>
      <c r="D197" s="111">
        <v>374.21327955913438</v>
      </c>
      <c r="E197" s="112">
        <v>392.85775679751202</v>
      </c>
      <c r="F197" s="112">
        <v>412.23751073921471</v>
      </c>
      <c r="G197" s="112">
        <v>432.3741234041625</v>
      </c>
      <c r="I197" s="107">
        <f>I196-1%</f>
        <v>9.0000000000000011E-2</v>
      </c>
      <c r="J197" s="110">
        <f t="shared" si="78"/>
        <v>0.29691878280588502</v>
      </c>
      <c r="K197" s="110">
        <f t="shared" si="79"/>
        <v>0.23477713175858095</v>
      </c>
      <c r="L197" s="113">
        <f t="shared" si="80"/>
        <v>0.17617634374001057</v>
      </c>
      <c r="M197" s="113">
        <f t="shared" si="81"/>
        <v>0.12088295694253248</v>
      </c>
      <c r="N197" s="113">
        <f t="shared" si="82"/>
        <v>6.8680975545058809E-2</v>
      </c>
    </row>
    <row r="198" spans="1:14" outlineLevel="1">
      <c r="B198" s="107">
        <f>B197-1%</f>
        <v>8.0000000000000016E-2</v>
      </c>
      <c r="C198" s="111">
        <v>357.39266107646915</v>
      </c>
      <c r="D198" s="111">
        <v>375.35459182031553</v>
      </c>
      <c r="E198" s="112">
        <v>394.03143143310484</v>
      </c>
      <c r="F198" s="112">
        <v>413.44436469029966</v>
      </c>
      <c r="G198" s="112">
        <v>433.6149911941452</v>
      </c>
      <c r="I198" s="107">
        <f>I197-1%</f>
        <v>8.0000000000000016E-2</v>
      </c>
      <c r="J198" s="110">
        <f t="shared" si="78"/>
        <v>0.2928916855993684</v>
      </c>
      <c r="K198" s="110">
        <f t="shared" si="79"/>
        <v>0.23102263851136162</v>
      </c>
      <c r="L198" s="113">
        <f t="shared" si="80"/>
        <v>0.17267294723021642</v>
      </c>
      <c r="M198" s="113">
        <f t="shared" si="81"/>
        <v>0.11761107288552486</v>
      </c>
      <c r="N198" s="113">
        <f t="shared" si="82"/>
        <v>6.5622751481658081E-2</v>
      </c>
    </row>
    <row r="199" spans="1:14" outlineLevel="1"/>
    <row r="200" spans="1:14" outlineLevel="1">
      <c r="B200" s="1" t="s">
        <v>228</v>
      </c>
      <c r="G200" s="30" t="s">
        <v>269</v>
      </c>
      <c r="I200" s="1" t="s">
        <v>228</v>
      </c>
      <c r="N200" s="30" t="s">
        <v>269</v>
      </c>
    </row>
    <row r="201" spans="1:14" outlineLevel="1">
      <c r="B201" s="116">
        <f>B185</f>
        <v>391.68408216191915</v>
      </c>
      <c r="C201" s="114">
        <f>D201-5</f>
        <v>110</v>
      </c>
      <c r="D201" s="114">
        <f>E201-5</f>
        <v>115</v>
      </c>
      <c r="E201" s="114">
        <v>120</v>
      </c>
      <c r="F201" s="114">
        <f>E201+5</f>
        <v>125</v>
      </c>
      <c r="G201" s="114">
        <f>F201+5</f>
        <v>130</v>
      </c>
      <c r="I201" s="23"/>
      <c r="J201" s="114">
        <f>K201-5</f>
        <v>110</v>
      </c>
      <c r="K201" s="114">
        <f>L201-5</f>
        <v>115</v>
      </c>
      <c r="L201" s="114">
        <v>120</v>
      </c>
      <c r="M201" s="114">
        <f>L201+5</f>
        <v>125</v>
      </c>
      <c r="N201" s="114">
        <f>M201+5</f>
        <v>130</v>
      </c>
    </row>
    <row r="202" spans="1:14" outlineLevel="1">
      <c r="B202" s="115">
        <f>B203+1%</f>
        <v>0.12517943945162216</v>
      </c>
      <c r="C202" s="111">
        <f t="dataTable" ref="C202:G206" dt2D="1" dtr="1" r1="B157" r2="B147" ca="1"/>
        <v>329.2344477431958</v>
      </c>
      <c r="D202" s="111">
        <v>343.86734642455525</v>
      </c>
      <c r="E202" s="111">
        <v>358.5002451059147</v>
      </c>
      <c r="F202" s="111">
        <v>373.13314378727426</v>
      </c>
      <c r="G202" s="112">
        <v>387.76604246863371</v>
      </c>
      <c r="I202" s="115">
        <f>I203+1%</f>
        <v>0.12517943945162216</v>
      </c>
      <c r="J202" s="110">
        <f>$B$186/C202-1</f>
        <v>0.40346796383960548</v>
      </c>
      <c r="K202" s="110">
        <f t="shared" ref="K202:N202" si="83">$B$186/D202-1</f>
        <v>0.34374492025627235</v>
      </c>
      <c r="L202" s="110">
        <f t="shared" si="83"/>
        <v>0.28889730567265537</v>
      </c>
      <c r="M202" s="110">
        <f t="shared" si="83"/>
        <v>0.23835153133281883</v>
      </c>
      <c r="N202" s="113">
        <f t="shared" si="83"/>
        <v>0.19162058920457614</v>
      </c>
    </row>
    <row r="203" spans="1:14" outlineLevel="1">
      <c r="B203" s="115">
        <f>B204+1%</f>
        <v>0.11517943945162216</v>
      </c>
      <c r="C203" s="111">
        <v>344.0449183588413</v>
      </c>
      <c r="D203" s="111">
        <v>359.34576756343932</v>
      </c>
      <c r="E203" s="111">
        <v>374.6466167680374</v>
      </c>
      <c r="F203" s="112">
        <v>389.9474659726356</v>
      </c>
      <c r="G203" s="112">
        <v>405.24831517723368</v>
      </c>
      <c r="I203" s="115">
        <f>I204+1%</f>
        <v>0.11517943945162216</v>
      </c>
      <c r="J203" s="110">
        <f t="shared" ref="J203:J206" si="84">$B$186/C203-1</f>
        <v>0.34305137307116884</v>
      </c>
      <c r="K203" s="110">
        <f t="shared" ref="K203:K206" si="85">$B$186/D203-1</f>
        <v>0.28586459535362585</v>
      </c>
      <c r="L203" s="110">
        <f t="shared" ref="L203:L206" si="86">$B$186/E203-1</f>
        <v>0.23334891953953196</v>
      </c>
      <c r="M203" s="113">
        <f t="shared" ref="M203:M206" si="87">$B$186/F203-1</f>
        <v>0.18495448828593131</v>
      </c>
      <c r="N203" s="113">
        <f t="shared" ref="N203:N206" si="88">$B$186/G203-1</f>
        <v>0.14021448749988163</v>
      </c>
    </row>
    <row r="204" spans="1:14" outlineLevel="1">
      <c r="B204" s="115">
        <v>0.10517943945162217</v>
      </c>
      <c r="C204" s="111">
        <v>359.67263444838977</v>
      </c>
      <c r="D204" s="111">
        <v>375.6783583051544</v>
      </c>
      <c r="E204" s="112">
        <v>391.68408216191915</v>
      </c>
      <c r="F204" s="112">
        <v>407.68980601868395</v>
      </c>
      <c r="G204" s="112">
        <v>423.69552987544864</v>
      </c>
      <c r="I204" s="115">
        <v>0.10517943945162217</v>
      </c>
      <c r="J204" s="110">
        <f t="shared" si="84"/>
        <v>0.28469601449843807</v>
      </c>
      <c r="K204" s="110">
        <f t="shared" si="85"/>
        <v>0.22996172067136156</v>
      </c>
      <c r="L204" s="113">
        <f t="shared" si="86"/>
        <v>0.17970073598493563</v>
      </c>
      <c r="M204" s="113">
        <f t="shared" si="87"/>
        <v>0.13338619994541601</v>
      </c>
      <c r="N204" s="113">
        <f t="shared" si="88"/>
        <v>9.0570863789457778E-2</v>
      </c>
    </row>
    <row r="205" spans="1:14" outlineLevel="1">
      <c r="B205" s="115">
        <f>B204-1%</f>
        <v>9.5179439451622175E-2</v>
      </c>
      <c r="C205" s="111">
        <v>376.17074209938039</v>
      </c>
      <c r="D205" s="112">
        <v>392.92066816088163</v>
      </c>
      <c r="E205" s="112">
        <v>409.67059422238299</v>
      </c>
      <c r="F205" s="112">
        <v>426.42052028388429</v>
      </c>
      <c r="G205" s="112">
        <v>443.17044634538547</v>
      </c>
      <c r="I205" s="115">
        <f>I204-1%</f>
        <v>9.5179439451622175E-2</v>
      </c>
      <c r="J205" s="110">
        <f t="shared" si="84"/>
        <v>0.22835177829413933</v>
      </c>
      <c r="K205" s="113">
        <f t="shared" si="85"/>
        <v>0.17598802364553934</v>
      </c>
      <c r="L205" s="113">
        <f t="shared" si="86"/>
        <v>0.12790619223495647</v>
      </c>
      <c r="M205" s="113">
        <f t="shared" si="87"/>
        <v>8.3601698371322586E-2</v>
      </c>
      <c r="N205" s="113">
        <f t="shared" si="88"/>
        <v>4.2646240990278361E-2</v>
      </c>
    </row>
    <row r="206" spans="1:14" outlineLevel="1">
      <c r="B206" s="115">
        <f>B205-1%</f>
        <v>8.517943945162218E-2</v>
      </c>
      <c r="C206" s="112">
        <v>393.59637567698121</v>
      </c>
      <c r="D206" s="112">
        <v>411.13241538188799</v>
      </c>
      <c r="E206" s="112">
        <v>428.66845508679489</v>
      </c>
      <c r="F206" s="112">
        <v>446.20449479170179</v>
      </c>
      <c r="G206" s="112">
        <v>463.74053449660857</v>
      </c>
      <c r="I206" s="115">
        <f>I205-1%</f>
        <v>8.517943945162218E-2</v>
      </c>
      <c r="J206" s="113">
        <f t="shared" si="84"/>
        <v>0.17396914340292113</v>
      </c>
      <c r="K206" s="113">
        <f t="shared" si="85"/>
        <v>0.12389581242529291</v>
      </c>
      <c r="L206" s="113">
        <f t="shared" si="86"/>
        <v>7.7919297575656854E-2</v>
      </c>
      <c r="M206" s="113">
        <f t="shared" si="87"/>
        <v>3.5556578639362568E-2</v>
      </c>
      <c r="N206" s="113">
        <f t="shared" si="88"/>
        <v>-3.6023042463215749E-3</v>
      </c>
    </row>
    <row r="207" spans="1:14" ht="17" thickBot="1"/>
    <row r="208" spans="1:14" ht="23" thickBot="1">
      <c r="A208" s="155" t="s">
        <v>270</v>
      </c>
      <c r="B208" s="156"/>
      <c r="C208" s="156"/>
      <c r="D208" s="156"/>
      <c r="E208" s="156"/>
      <c r="F208" s="156"/>
      <c r="G208" s="156"/>
      <c r="H208" s="156"/>
      <c r="I208" s="156"/>
      <c r="J208" s="156"/>
      <c r="K208" s="157"/>
    </row>
    <row r="209" spans="3:7" outlineLevel="1"/>
    <row r="210" spans="3:7" outlineLevel="1">
      <c r="C210" s="1"/>
      <c r="D210" s="8" t="s">
        <v>271</v>
      </c>
      <c r="E210" s="1"/>
    </row>
    <row r="211" spans="3:7" outlineLevel="1">
      <c r="C211" s="1"/>
      <c r="D211" s="8" t="s">
        <v>272</v>
      </c>
      <c r="F211" s="8" t="s">
        <v>274</v>
      </c>
    </row>
    <row r="212" spans="3:7" outlineLevel="1">
      <c r="C212" s="46" t="s">
        <v>219</v>
      </c>
      <c r="D212" s="46" t="s">
        <v>273</v>
      </c>
      <c r="E212" s="46" t="s">
        <v>278</v>
      </c>
      <c r="F212" s="46" t="s">
        <v>275</v>
      </c>
    </row>
    <row r="213" spans="3:7" outlineLevel="1">
      <c r="C213" s="61" t="s">
        <v>209</v>
      </c>
      <c r="D213" s="117">
        <f ca="1">VALUE(IF($G$4=1,$B$185,$D$213))</f>
        <v>306.60794631872523</v>
      </c>
      <c r="E213" s="118">
        <v>0.33329999999999999</v>
      </c>
      <c r="F213" s="10">
        <f>$B$186/306.61-1</f>
        <v>0.50702847265255535</v>
      </c>
      <c r="G213" s="8" t="str">
        <f>IF(F213&lt;-0.2,"BUY",IF(F213&gt;0,"SELL","HOLD"))</f>
        <v>SELL</v>
      </c>
    </row>
    <row r="214" spans="3:7" outlineLevel="1">
      <c r="C214" s="61" t="s">
        <v>210</v>
      </c>
      <c r="D214" s="117">
        <f>VALUE(IF($G$4=2,$B$185,$D$214))</f>
        <v>391.68408216191915</v>
      </c>
      <c r="E214" s="118">
        <v>0.33329999999999999</v>
      </c>
      <c r="F214" s="10">
        <f>$B$186/391.68-1</f>
        <v>0.17971303104575154</v>
      </c>
      <c r="G214" s="8" t="str">
        <f t="shared" ref="G214:G215" si="89">IF(F214&lt;-0.2,"BUY",IF(F214&gt;0,"SELL","HOLD"))</f>
        <v>SELL</v>
      </c>
    </row>
    <row r="215" spans="3:7" outlineLevel="1">
      <c r="C215" s="61" t="s">
        <v>211</v>
      </c>
      <c r="D215" s="117">
        <f ca="1">VALUE(IF($G$4=3,$B$185,$D$215))</f>
        <v>489.60398419145702</v>
      </c>
      <c r="E215" s="118">
        <v>0.33329999999999999</v>
      </c>
      <c r="F215" s="10">
        <f>$B$186/489.6-1</f>
        <v>-5.6229575163398771E-2</v>
      </c>
      <c r="G215" s="8" t="str">
        <f t="shared" si="89"/>
        <v>HOLD</v>
      </c>
    </row>
    <row r="216" spans="3:7" outlineLevel="1">
      <c r="C216" s="30" t="s">
        <v>276</v>
      </c>
      <c r="D216" s="117">
        <f>306.61*0.3333+391.68*0.3333+489.6*0.3333</f>
        <v>395.92373699999996</v>
      </c>
    </row>
    <row r="217" spans="3:7" outlineLevel="1">
      <c r="C217" s="30" t="s">
        <v>277</v>
      </c>
      <c r="D217" s="109">
        <f>B186/D216-1</f>
        <v>0.16706819222612057</v>
      </c>
    </row>
    <row r="218" spans="3:7" outlineLevel="1">
      <c r="C218" s="30" t="s">
        <v>265</v>
      </c>
      <c r="D218" s="8" t="str">
        <f>IF(D217&lt;-0.2,"BUY",IF(D217&gt;0,"SELL","HOLD"))</f>
        <v>SELL</v>
      </c>
    </row>
    <row r="219" spans="3:7">
      <c r="D219" s="8"/>
    </row>
    <row r="220" spans="3:7">
      <c r="D220" s="8"/>
    </row>
  </sheetData>
  <mergeCells count="12">
    <mergeCell ref="A137:G137"/>
    <mergeCell ref="A159:K159"/>
    <mergeCell ref="A208:K208"/>
    <mergeCell ref="A190:N190"/>
    <mergeCell ref="B1:F1"/>
    <mergeCell ref="G1:K1"/>
    <mergeCell ref="H137:J137"/>
    <mergeCell ref="A5:K5"/>
    <mergeCell ref="A39:K39"/>
    <mergeCell ref="A61:K61"/>
    <mergeCell ref="A94:K94"/>
    <mergeCell ref="A116:K116"/>
  </mergeCells>
  <conditionalFormatting sqref="A3">
    <cfRule type="containsText" dxfId="10" priority="11" operator="containsText" text="NOT BALANCED">
      <formula>NOT(ISERROR(SEARCH("NOT BALANCED",A3)))</formula>
    </cfRule>
    <cfRule type="containsText" dxfId="9" priority="12" operator="containsText" text="OK">
      <formula>NOT(ISERROR(SEARCH("OK",A3)))</formula>
    </cfRule>
  </conditionalFormatting>
  <conditionalFormatting sqref="B188">
    <cfRule type="containsText" dxfId="8" priority="7" operator="containsText" text="BUY">
      <formula>NOT(ISERROR(SEARCH("BUY",B188)))</formula>
    </cfRule>
    <cfRule type="containsText" dxfId="7" priority="8" operator="containsText" text="HOLD">
      <formula>NOT(ISERROR(SEARCH("HOLD",B188)))</formula>
    </cfRule>
    <cfRule type="containsText" dxfId="6" priority="9" operator="containsText" text="SELL">
      <formula>NOT(ISERROR(SEARCH("SELL",B188)))</formula>
    </cfRule>
  </conditionalFormatting>
  <conditionalFormatting sqref="D218:D220">
    <cfRule type="containsText" dxfId="5" priority="1" operator="containsText" text="BUY">
      <formula>NOT(ISERROR(SEARCH("BUY",D218)))</formula>
    </cfRule>
    <cfRule type="containsText" dxfId="4" priority="2" operator="containsText" text="HOLD">
      <formula>NOT(ISERROR(SEARCH("HOLD",D218)))</formula>
    </cfRule>
    <cfRule type="containsText" dxfId="3" priority="3" operator="containsText" text="SELL">
      <formula>NOT(ISERROR(SEARCH("SELL",D218)))</formula>
    </cfRule>
  </conditionalFormatting>
  <conditionalFormatting sqref="G213:G215">
    <cfRule type="containsText" dxfId="2" priority="4" operator="containsText" text="BUY">
      <formula>NOT(ISERROR(SEARCH("BUY",G213)))</formula>
    </cfRule>
    <cfRule type="containsText" dxfId="1" priority="5" operator="containsText" text="HOLD">
      <formula>NOT(ISERROR(SEARCH("HOLD",G213)))</formula>
    </cfRule>
    <cfRule type="containsText" dxfId="0" priority="6" operator="containsText" text="SELL">
      <formula>NOT(ISERROR(SEARCH("SELL",G213)))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Three Statement Model</vt:lpstr>
      <vt:lpstr>Charts and Graphs</vt:lpstr>
      <vt:lpstr>Rev&amp;COGS breakdown</vt:lpstr>
      <vt:lpstr>Financials</vt:lpstr>
      <vt:lpstr>3-Statement Model_v1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Chi-Fang Cheng</dc:creator>
  <cp:lastModifiedBy>Chi-Fang Cheng</cp:lastModifiedBy>
  <dcterms:created xsi:type="dcterms:W3CDTF">2025-10-10T00:20:30Z</dcterms:created>
  <dcterms:modified xsi:type="dcterms:W3CDTF">2025-11-11T00:46:41Z</dcterms:modified>
</cp:coreProperties>
</file>